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Master Data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License Expiry Alerts" sheetId="3" state="visible" r:id="rId3"/>
    <sheet xmlns:r="http://schemas.openxmlformats.org/officeDocument/2006/relationships" name="BG Check Tracker" sheetId="4" state="visible" r:id="rId4"/>
    <sheet xmlns:r="http://schemas.openxmlformats.org/officeDocument/2006/relationships" name="Legend &amp;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0.0&quot; days&quot;"/>
    <numFmt numFmtId="167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39C12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2E5496"/>
      <sz val="10"/>
    </font>
    <font>
      <name val="Arial"/>
      <b val="1"/>
      <color rgb="00595959"/>
      <sz val="10"/>
    </font>
    <font>
      <name val="Arial"/>
      <b val="1"/>
      <color rgb="00E67E22"/>
      <sz val="10"/>
    </font>
    <font>
      <name val="Arial"/>
      <b val="1"/>
      <color rgb="00FFFFFF"/>
      <sz val="11"/>
    </font>
    <font>
      <name val="Arial"/>
      <b val="1"/>
      <color rgb="00595959"/>
      <sz val="9"/>
    </font>
    <font>
      <name val="Arial"/>
      <b val="1"/>
      <color rgb="001B2A4A"/>
      <sz val="18"/>
    </font>
    <font>
      <name val="Arial"/>
      <b val="1"/>
      <color rgb="001E8449"/>
      <sz val="18"/>
    </font>
    <font>
      <name val="Arial"/>
      <b val="1"/>
      <color rgb="00F39C12"/>
      <sz val="18"/>
    </font>
    <font>
      <name val="Arial"/>
      <b val="1"/>
      <color rgb="00E67E22"/>
      <sz val="18"/>
    </font>
    <font>
      <name val="Arial"/>
      <b val="1"/>
      <color rgb="002E5496"/>
      <sz val="18"/>
    </font>
    <font>
      <name val="Arial"/>
      <b val="1"/>
      <color rgb="00C0392B"/>
      <sz val="18"/>
    </font>
    <font>
      <name val="Arial"/>
      <b val="1"/>
      <color rgb="00595959"/>
      <sz val="18"/>
    </font>
    <font>
      <name val="Arial"/>
      <b val="1"/>
      <sz val="10"/>
    </font>
    <font>
      <name val="Arial"/>
      <b val="1"/>
      <color rgb="001B2A4A"/>
      <sz val="10"/>
    </font>
    <font>
      <name val="Arial"/>
      <color rgb="00000000"/>
      <sz val="10"/>
    </font>
    <font>
      <name val="Arial"/>
      <b val="1"/>
      <color rgb="00C0392B"/>
      <sz val="12"/>
    </font>
    <font>
      <name val="Arial"/>
      <b val="1"/>
      <color rgb="00F39C12"/>
      <sz val="12"/>
    </font>
    <font>
      <name val="Arial"/>
      <b val="1"/>
      <color rgb="001E8449"/>
      <sz val="12"/>
    </font>
    <font>
      <name val="Arial"/>
      <b val="1"/>
      <color rgb="002E5496"/>
      <sz val="12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2F2F2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FEF5E7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" fontId="12" fillId="4" borderId="1" applyAlignment="1" pivotButton="0" quotePrefix="0" xfId="0">
      <alignment horizontal="center" vertical="center"/>
    </xf>
    <xf numFmtId="1" fontId="13" fillId="4" borderId="1" applyAlignment="1" pivotButton="0" quotePrefix="0" xfId="0">
      <alignment horizontal="center" vertical="center"/>
    </xf>
    <xf numFmtId="1" fontId="14" fillId="4" borderId="1" applyAlignment="1" pivotButton="0" quotePrefix="0" xfId="0">
      <alignment horizontal="center" vertical="center"/>
    </xf>
    <xf numFmtId="1" fontId="15" fillId="4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/>
    </xf>
    <xf numFmtId="1" fontId="17" fillId="4" borderId="1" applyAlignment="1" pivotButton="0" quotePrefix="0" xfId="0">
      <alignment horizontal="center" vertical="center"/>
    </xf>
    <xf numFmtId="1" fontId="18" fillId="4" borderId="1" applyAlignment="1" pivotButton="0" quotePrefix="0" xfId="0">
      <alignment horizontal="center" vertical="center"/>
    </xf>
    <xf numFmtId="166" fontId="16" fillId="4" borderId="1" applyAlignment="1" pivotButton="0" quotePrefix="0" xfId="0">
      <alignment horizontal="center" vertical="center"/>
    </xf>
    <xf numFmtId="167" fontId="17" fillId="4" borderId="1" applyAlignment="1" pivotButton="0" quotePrefix="0" xfId="0">
      <alignment horizontal="center" vertical="center"/>
    </xf>
    <xf numFmtId="167" fontId="1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165" fontId="21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22" fillId="4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165" fontId="21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165" fontId="21" fillId="6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165" fontId="21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color rgb="00595959"/>
        <sz val="10"/>
      </font>
      <fill>
        <patternFill patternType="solid">
          <fgColor rgb="00D5D8DC"/>
        </patternFill>
      </fill>
    </dxf>
    <dxf>
      <font>
        <name val="Arial"/>
        <b val="1"/>
        <color rgb="00C0392B"/>
        <sz val="10"/>
      </font>
      <fill>
        <patternFill patternType="solid">
          <fgColor rgb="00FADBD8"/>
        </patternFill>
      </fill>
    </dxf>
    <dxf>
      <font>
        <name val="Arial"/>
        <b val="1"/>
        <color rgb="00E67E22"/>
        <sz val="10"/>
      </font>
      <fill>
        <patternFill patternType="solid">
          <fgColor rgb="00FDEBD0"/>
        </patternFill>
      </fill>
    </dxf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8" customWidth="1" min="4" max="4"/>
    <col width="10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  <col width="17" customWidth="1" min="11" max="11"/>
    <col width="22" customWidth="1" min="12" max="12"/>
    <col width="24" customWidth="1" min="13" max="13"/>
  </cols>
  <sheetData>
    <row r="1" ht="36" customHeight="1">
      <c r="A1" s="1" t="inlineStr">
        <is>
          <t>PRODUCER ONBOARDING TRACKER — Agent Master Data</t>
        </is>
      </c>
    </row>
    <row r="2" ht="30" customHeight="1">
      <c r="A2" s="2" t="inlineStr">
        <is>
          <t>Agent ID</t>
        </is>
      </c>
      <c r="B2" s="2" t="inlineStr">
        <is>
          <t>Agent Name</t>
        </is>
      </c>
      <c r="C2" s="2" t="inlineStr">
        <is>
          <t>Agency</t>
        </is>
      </c>
      <c r="D2" s="2" t="inlineStr">
        <is>
          <t>State</t>
        </is>
      </c>
      <c r="E2" s="2" t="inlineStr">
        <is>
          <t>Tier</t>
        </is>
      </c>
      <c r="F2" s="2" t="inlineStr">
        <is>
          <t>Application Date</t>
        </is>
      </c>
      <c r="G2" s="2" t="inlineStr">
        <is>
          <t>Status</t>
        </is>
      </c>
      <c r="H2" s="2" t="inlineStr">
        <is>
          <t>License Expiry</t>
        </is>
      </c>
      <c r="I2" s="2" t="inlineStr">
        <is>
          <t>Days to Expiry</t>
        </is>
      </c>
      <c r="J2" s="2" t="inlineStr">
        <is>
          <t>BG Check</t>
        </is>
      </c>
      <c r="K2" s="2" t="inlineStr">
        <is>
          <t>Processing Days</t>
        </is>
      </c>
      <c r="L2" s="2" t="inlineStr">
        <is>
          <t>Rejection Reason</t>
        </is>
      </c>
      <c r="M2" s="2" t="inlineStr">
        <is>
          <t>Notes</t>
        </is>
      </c>
    </row>
    <row r="3">
      <c r="A3" s="3" t="inlineStr">
        <is>
          <t>AGT-1001</t>
        </is>
      </c>
      <c r="B3" s="3" t="inlineStr">
        <is>
          <t>Tyler Davis</t>
        </is>
      </c>
      <c r="C3" s="3" t="inlineStr">
        <is>
          <t>Premier Risk Partners</t>
        </is>
      </c>
      <c r="D3" s="3" t="inlineStr">
        <is>
          <t>CT</t>
        </is>
      </c>
      <c r="E3" s="3" t="inlineStr">
        <is>
          <t>Tier 3</t>
        </is>
      </c>
      <c r="F3" s="4" t="n">
        <v>45760</v>
      </c>
      <c r="G3" s="5" t="inlineStr">
        <is>
          <t>Under Review</t>
        </is>
      </c>
      <c r="H3" s="4" t="n">
        <v>46092</v>
      </c>
      <c r="I3" s="3">
        <f>DATEDIF(TODAY(),H3,"D")</f>
        <v/>
      </c>
      <c r="J3" s="6" t="inlineStr">
        <is>
          <t>Pending</t>
        </is>
      </c>
      <c r="K3" s="3" t="inlineStr"/>
      <c r="L3" s="3" t="inlineStr"/>
      <c r="M3" s="3" t="inlineStr"/>
    </row>
    <row r="4">
      <c r="A4" s="7" t="inlineStr">
        <is>
          <t>AGT-1002</t>
        </is>
      </c>
      <c r="B4" s="7" t="inlineStr">
        <is>
          <t>Fatima Johnson</t>
        </is>
      </c>
      <c r="C4" s="7" t="inlineStr">
        <is>
          <t>Apex Insurance Group</t>
        </is>
      </c>
      <c r="D4" s="7" t="inlineStr">
        <is>
          <t>NJ</t>
        </is>
      </c>
      <c r="E4" s="7" t="inlineStr">
        <is>
          <t>Tier 1</t>
        </is>
      </c>
      <c r="F4" s="8" t="n">
        <v>45741</v>
      </c>
      <c r="G4" s="9" t="inlineStr">
        <is>
          <t>Active</t>
        </is>
      </c>
      <c r="H4" s="8" t="n">
        <v>46625</v>
      </c>
      <c r="I4" s="7">
        <f>DATEDIF(TODAY(),H4,"D")</f>
        <v/>
      </c>
      <c r="J4" s="10" t="inlineStr">
        <is>
          <t>Passed</t>
        </is>
      </c>
      <c r="K4" s="7" t="n">
        <v>40</v>
      </c>
      <c r="L4" s="7" t="inlineStr"/>
      <c r="M4" s="7" t="inlineStr"/>
    </row>
    <row r="5">
      <c r="A5" s="3" t="inlineStr">
        <is>
          <t>AGT-1003</t>
        </is>
      </c>
      <c r="B5" s="3" t="inlineStr">
        <is>
          <t>Marcus Robinson</t>
        </is>
      </c>
      <c r="C5" s="3" t="inlineStr">
        <is>
          <t>Summit Coverage LLC</t>
        </is>
      </c>
      <c r="D5" s="3" t="inlineStr">
        <is>
          <t>PA</t>
        </is>
      </c>
      <c r="E5" s="3" t="inlineStr">
        <is>
          <t>Tier 2</t>
        </is>
      </c>
      <c r="F5" s="4" t="n">
        <v>45829</v>
      </c>
      <c r="G5" s="9" t="inlineStr">
        <is>
          <t>Active</t>
        </is>
      </c>
      <c r="H5" s="4" t="n">
        <v>46094</v>
      </c>
      <c r="I5" s="3">
        <f>DATEDIF(TODAY(),H5,"D")</f>
        <v/>
      </c>
      <c r="J5" s="6" t="inlineStr">
        <is>
          <t>Pending</t>
        </is>
      </c>
      <c r="K5" s="3" t="n">
        <v>15</v>
      </c>
      <c r="L5" s="3" t="inlineStr"/>
      <c r="M5" s="3" t="inlineStr">
        <is>
          <t>Awaiting license copy</t>
        </is>
      </c>
    </row>
    <row r="6">
      <c r="A6" s="7" t="inlineStr">
        <is>
          <t>AGT-1004</t>
        </is>
      </c>
      <c r="B6" s="7" t="inlineStr">
        <is>
          <t>Tyler Jones</t>
        </is>
      </c>
      <c r="C6" s="7" t="inlineStr">
        <is>
          <t>Premier Risk Partners</t>
        </is>
      </c>
      <c r="D6" s="7" t="inlineStr">
        <is>
          <t>CA</t>
        </is>
      </c>
      <c r="E6" s="7" t="inlineStr">
        <is>
          <t>Tier 1</t>
        </is>
      </c>
      <c r="F6" s="8" t="n">
        <v>45945</v>
      </c>
      <c r="G6" s="11" t="inlineStr">
        <is>
          <t>Rejected</t>
        </is>
      </c>
      <c r="H6" s="8" t="n">
        <v>46073</v>
      </c>
      <c r="I6" s="7">
        <f>DATEDIF(TODAY(),H6,"D")</f>
        <v/>
      </c>
      <c r="J6" s="10" t="inlineStr">
        <is>
          <t>Passed</t>
        </is>
      </c>
      <c r="K6" s="7" t="n">
        <v>30</v>
      </c>
      <c r="L6" s="7" t="inlineStr">
        <is>
          <t>Background Failed</t>
        </is>
      </c>
      <c r="M6" s="7" t="inlineStr"/>
    </row>
    <row r="7">
      <c r="A7" s="3" t="inlineStr">
        <is>
          <t>AGT-1005</t>
        </is>
      </c>
      <c r="B7" s="3" t="inlineStr">
        <is>
          <t>Sofia Martinez</t>
        </is>
      </c>
      <c r="C7" s="3" t="inlineStr">
        <is>
          <t>Apex Insurance Group</t>
        </is>
      </c>
      <c r="D7" s="3" t="inlineStr">
        <is>
          <t>FL</t>
        </is>
      </c>
      <c r="E7" s="3" t="inlineStr">
        <is>
          <t>Tier 3</t>
        </is>
      </c>
      <c r="F7" s="4" t="n">
        <v>45893</v>
      </c>
      <c r="G7" s="5" t="inlineStr">
        <is>
          <t>Under Review</t>
        </is>
      </c>
      <c r="H7" s="4" t="n">
        <v>46434</v>
      </c>
      <c r="I7" s="3">
        <f>DATEDIF(TODAY(),H7,"D")</f>
        <v/>
      </c>
      <c r="J7" s="12" t="inlineStr">
        <is>
          <t>Passed</t>
        </is>
      </c>
      <c r="K7" s="3" t="inlineStr"/>
      <c r="L7" s="3" t="inlineStr"/>
      <c r="M7" s="3" t="inlineStr"/>
    </row>
    <row r="8">
      <c r="A8" s="7" t="inlineStr">
        <is>
          <t>AGT-1006</t>
        </is>
      </c>
      <c r="B8" s="7" t="inlineStr">
        <is>
          <t>Derek Rodriguez</t>
        </is>
      </c>
      <c r="C8" s="7" t="inlineStr">
        <is>
          <t>Atlantic Agents Co</t>
        </is>
      </c>
      <c r="D8" s="7" t="inlineStr">
        <is>
          <t>OH</t>
        </is>
      </c>
      <c r="E8" s="7" t="inlineStr">
        <is>
          <t>Tier 1</t>
        </is>
      </c>
      <c r="F8" s="8" t="n">
        <v>45894</v>
      </c>
      <c r="G8" s="13" t="inlineStr">
        <is>
          <t>Applied</t>
        </is>
      </c>
      <c r="H8" s="8" t="n">
        <v>46632</v>
      </c>
      <c r="I8" s="7">
        <f>DATEDIF(TODAY(),H8,"D")</f>
        <v/>
      </c>
      <c r="J8" s="10" t="inlineStr">
        <is>
          <t>Passed</t>
        </is>
      </c>
      <c r="K8" s="7" t="inlineStr"/>
      <c r="L8" s="7" t="inlineStr"/>
      <c r="M8" s="7" t="inlineStr">
        <is>
          <t>Priority enrollment</t>
        </is>
      </c>
    </row>
    <row r="9">
      <c r="A9" s="3" t="inlineStr">
        <is>
          <t>AGT-1007</t>
        </is>
      </c>
      <c r="B9" s="3" t="inlineStr">
        <is>
          <t>Trevor Wilson</t>
        </is>
      </c>
      <c r="C9" s="3" t="inlineStr">
        <is>
          <t>Midwest Brokers LLC</t>
        </is>
      </c>
      <c r="D9" s="3" t="inlineStr">
        <is>
          <t>PA</t>
        </is>
      </c>
      <c r="E9" s="3" t="inlineStr">
        <is>
          <t>Tier 1</t>
        </is>
      </c>
      <c r="F9" s="4" t="n">
        <v>46052</v>
      </c>
      <c r="G9" s="13" t="inlineStr">
        <is>
          <t>Applied</t>
        </is>
      </c>
      <c r="H9" s="4" t="n">
        <v>46744</v>
      </c>
      <c r="I9" s="3">
        <f>DATEDIF(TODAY(),H9,"D")</f>
        <v/>
      </c>
      <c r="J9" s="12" t="inlineStr">
        <is>
          <t>Passed</t>
        </is>
      </c>
      <c r="K9" s="3" t="inlineStr"/>
      <c r="L9" s="3" t="inlineStr"/>
      <c r="M9" s="3" t="inlineStr">
        <is>
          <t>Follow up needed</t>
        </is>
      </c>
    </row>
    <row r="10">
      <c r="A10" s="7" t="inlineStr">
        <is>
          <t>AGT-1008</t>
        </is>
      </c>
      <c r="B10" s="7" t="inlineStr">
        <is>
          <t>Mei Thomas</t>
        </is>
      </c>
      <c r="C10" s="7" t="inlineStr">
        <is>
          <t>Premier Risk Partners</t>
        </is>
      </c>
      <c r="D10" s="7" t="inlineStr">
        <is>
          <t>MA</t>
        </is>
      </c>
      <c r="E10" s="7" t="inlineStr">
        <is>
          <t>Tier 3</t>
        </is>
      </c>
      <c r="F10" s="8" t="n">
        <v>45945</v>
      </c>
      <c r="G10" s="9" t="inlineStr">
        <is>
          <t>Active</t>
        </is>
      </c>
      <c r="H10" s="8" t="n">
        <v>46717</v>
      </c>
      <c r="I10" s="7">
        <f>DATEDIF(TODAY(),H10,"D")</f>
        <v/>
      </c>
      <c r="J10" s="10" t="inlineStr">
        <is>
          <t>Passed</t>
        </is>
      </c>
      <c r="K10" s="7" t="n">
        <v>13</v>
      </c>
      <c r="L10" s="7" t="inlineStr"/>
      <c r="M10" s="7" t="inlineStr">
        <is>
          <t>Priority enrollment</t>
        </is>
      </c>
    </row>
    <row r="11">
      <c r="A11" s="3" t="inlineStr">
        <is>
          <t>AGT-1009</t>
        </is>
      </c>
      <c r="B11" s="3" t="inlineStr">
        <is>
          <t>Sandra Robinson</t>
        </is>
      </c>
      <c r="C11" s="3" t="inlineStr">
        <is>
          <t>Premier Risk Partners</t>
        </is>
      </c>
      <c r="D11" s="3" t="inlineStr">
        <is>
          <t>CT</t>
        </is>
      </c>
      <c r="E11" s="3" t="inlineStr">
        <is>
          <t>Tier 2</t>
        </is>
      </c>
      <c r="F11" s="4" t="n">
        <v>45756</v>
      </c>
      <c r="G11" s="13" t="inlineStr">
        <is>
          <t>Applied</t>
        </is>
      </c>
      <c r="H11" s="4" t="n">
        <v>46690</v>
      </c>
      <c r="I11" s="3">
        <f>DATEDIF(TODAY(),H11,"D")</f>
        <v/>
      </c>
      <c r="J11" s="6" t="inlineStr">
        <is>
          <t>Pending</t>
        </is>
      </c>
      <c r="K11" s="3" t="inlineStr"/>
      <c r="L11" s="3" t="inlineStr"/>
      <c r="M11" s="3" t="inlineStr">
        <is>
          <t>Follow up needed</t>
        </is>
      </c>
    </row>
    <row r="12">
      <c r="A12" s="7" t="inlineStr">
        <is>
          <t>AGT-1010</t>
        </is>
      </c>
      <c r="B12" s="7" t="inlineStr">
        <is>
          <t>Aisha Anderson</t>
        </is>
      </c>
      <c r="C12" s="7" t="inlineStr">
        <is>
          <t>Apex Insurance Group</t>
        </is>
      </c>
      <c r="D12" s="7" t="inlineStr">
        <is>
          <t>PA</t>
        </is>
      </c>
      <c r="E12" s="7" t="inlineStr">
        <is>
          <t>Tier 1</t>
        </is>
      </c>
      <c r="F12" s="8" t="n">
        <v>45949</v>
      </c>
      <c r="G12" s="14" t="inlineStr">
        <is>
          <t>Terminated</t>
        </is>
      </c>
      <c r="H12" s="8" t="n">
        <v>46722</v>
      </c>
      <c r="I12" s="7">
        <f>DATEDIF(TODAY(),H12,"D")</f>
        <v/>
      </c>
      <c r="J12" s="15" t="inlineStr">
        <is>
          <t>Pending</t>
        </is>
      </c>
      <c r="K12" s="7" t="n">
        <v>38</v>
      </c>
      <c r="L12" s="7" t="inlineStr"/>
      <c r="M12" s="7" t="inlineStr"/>
    </row>
    <row r="13">
      <c r="A13" s="3" t="inlineStr">
        <is>
          <t>AGT-1011</t>
        </is>
      </c>
      <c r="B13" s="3" t="inlineStr">
        <is>
          <t>Rosa Clark</t>
        </is>
      </c>
      <c r="C13" s="3" t="inlineStr">
        <is>
          <t>Atlantic Agents Co</t>
        </is>
      </c>
      <c r="D13" s="3" t="inlineStr">
        <is>
          <t>PA</t>
        </is>
      </c>
      <c r="E13" s="3" t="inlineStr">
        <is>
          <t>Tier 3</t>
        </is>
      </c>
      <c r="F13" s="4" t="n">
        <v>45882</v>
      </c>
      <c r="G13" s="16" t="inlineStr">
        <is>
          <t>Pending Docs</t>
        </is>
      </c>
      <c r="H13" s="4" t="n">
        <v>46134</v>
      </c>
      <c r="I13" s="3">
        <f>DATEDIF(TODAY(),H13,"D")</f>
        <v/>
      </c>
      <c r="J13" s="12" t="inlineStr">
        <is>
          <t>Passed</t>
        </is>
      </c>
      <c r="K13" s="3" t="inlineStr"/>
      <c r="L13" s="3" t="inlineStr"/>
      <c r="M13" s="3" t="inlineStr">
        <is>
          <t>Follow up needed</t>
        </is>
      </c>
    </row>
    <row r="14">
      <c r="A14" s="7" t="inlineStr">
        <is>
          <t>AGT-1012</t>
        </is>
      </c>
      <c r="B14" s="7" t="inlineStr">
        <is>
          <t>Tyler Jones</t>
        </is>
      </c>
      <c r="C14" s="7" t="inlineStr">
        <is>
          <t>Premier Risk Partners</t>
        </is>
      </c>
      <c r="D14" s="7" t="inlineStr">
        <is>
          <t>IL</t>
        </is>
      </c>
      <c r="E14" s="7" t="inlineStr">
        <is>
          <t>Tier 3</t>
        </is>
      </c>
      <c r="F14" s="8" t="n">
        <v>45885</v>
      </c>
      <c r="G14" s="14" t="inlineStr">
        <is>
          <t>Terminated</t>
        </is>
      </c>
      <c r="H14" s="8" t="n">
        <v>46725</v>
      </c>
      <c r="I14" s="7">
        <f>DATEDIF(TODAY(),H14,"D")</f>
        <v/>
      </c>
      <c r="J14" s="17" t="inlineStr">
        <is>
          <t>Failed</t>
        </is>
      </c>
      <c r="K14" s="7" t="n">
        <v>12</v>
      </c>
      <c r="L14" s="7" t="inlineStr"/>
      <c r="M14" s="7" t="inlineStr"/>
    </row>
    <row r="15">
      <c r="A15" s="3" t="inlineStr">
        <is>
          <t>AGT-1013</t>
        </is>
      </c>
      <c r="B15" s="3" t="inlineStr">
        <is>
          <t>Aisha Jones</t>
        </is>
      </c>
      <c r="C15" s="3" t="inlineStr">
        <is>
          <t>Nexus Insurance</t>
        </is>
      </c>
      <c r="D15" s="3" t="inlineStr">
        <is>
          <t>FL</t>
        </is>
      </c>
      <c r="E15" s="3" t="inlineStr">
        <is>
          <t>Tier 1</t>
        </is>
      </c>
      <c r="F15" s="4" t="n">
        <v>45788</v>
      </c>
      <c r="G15" s="9" t="inlineStr">
        <is>
          <t>Active</t>
        </is>
      </c>
      <c r="H15" s="4" t="n">
        <v>46664</v>
      </c>
      <c r="I15" s="3">
        <f>DATEDIF(TODAY(),H15,"D")</f>
        <v/>
      </c>
      <c r="J15" s="18" t="inlineStr">
        <is>
          <t>Failed</t>
        </is>
      </c>
      <c r="K15" s="3" t="n">
        <v>26</v>
      </c>
      <c r="L15" s="3" t="inlineStr"/>
      <c r="M15" s="3" t="inlineStr"/>
    </row>
    <row r="16">
      <c r="A16" s="7" t="inlineStr">
        <is>
          <t>AGT-1014</t>
        </is>
      </c>
      <c r="B16" s="7" t="inlineStr">
        <is>
          <t>Olga White</t>
        </is>
      </c>
      <c r="C16" s="7" t="inlineStr">
        <is>
          <t>United Producers</t>
        </is>
      </c>
      <c r="D16" s="7" t="inlineStr">
        <is>
          <t>NJ</t>
        </is>
      </c>
      <c r="E16" s="7" t="inlineStr">
        <is>
          <t>Tier 2</t>
        </is>
      </c>
      <c r="F16" s="8" t="n">
        <v>46031</v>
      </c>
      <c r="G16" s="5" t="inlineStr">
        <is>
          <t>Under Review</t>
        </is>
      </c>
      <c r="H16" s="8" t="n">
        <v>46709</v>
      </c>
      <c r="I16" s="7">
        <f>DATEDIF(TODAY(),H16,"D")</f>
        <v/>
      </c>
      <c r="J16" s="10" t="inlineStr">
        <is>
          <t>Passed</t>
        </is>
      </c>
      <c r="K16" s="7" t="inlineStr"/>
      <c r="L16" s="7" t="inlineStr"/>
      <c r="M16" s="7" t="inlineStr">
        <is>
          <t>Follow up needed</t>
        </is>
      </c>
    </row>
    <row r="17">
      <c r="A17" s="3" t="inlineStr">
        <is>
          <t>AGT-1015</t>
        </is>
      </c>
      <c r="B17" s="3" t="inlineStr">
        <is>
          <t>Anita Smith</t>
        </is>
      </c>
      <c r="C17" s="3" t="inlineStr">
        <is>
          <t>Midwest Brokers LLC</t>
        </is>
      </c>
      <c r="D17" s="3" t="inlineStr">
        <is>
          <t>IL</t>
        </is>
      </c>
      <c r="E17" s="3" t="inlineStr">
        <is>
          <t>Tier 2</t>
        </is>
      </c>
      <c r="F17" s="4" t="n">
        <v>45782</v>
      </c>
      <c r="G17" s="9" t="inlineStr">
        <is>
          <t>Active</t>
        </is>
      </c>
      <c r="H17" s="4" t="n">
        <v>46608</v>
      </c>
      <c r="I17" s="3">
        <f>DATEDIF(TODAY(),H17,"D")</f>
        <v/>
      </c>
      <c r="J17" s="12" t="inlineStr">
        <is>
          <t>Passed</t>
        </is>
      </c>
      <c r="K17" s="3" t="n">
        <v>38</v>
      </c>
      <c r="L17" s="3" t="inlineStr"/>
      <c r="M17" s="3" t="inlineStr">
        <is>
          <t>Priority enrollment</t>
        </is>
      </c>
    </row>
    <row r="18">
      <c r="A18" s="7" t="inlineStr">
        <is>
          <t>AGT-1016</t>
        </is>
      </c>
      <c r="B18" s="7" t="inlineStr">
        <is>
          <t>Sandra Harris</t>
        </is>
      </c>
      <c r="C18" s="7" t="inlineStr">
        <is>
          <t>Apex Insurance Group</t>
        </is>
      </c>
      <c r="D18" s="7" t="inlineStr">
        <is>
          <t>MA</t>
        </is>
      </c>
      <c r="E18" s="7" t="inlineStr">
        <is>
          <t>Tier 3</t>
        </is>
      </c>
      <c r="F18" s="8" t="n">
        <v>45913</v>
      </c>
      <c r="G18" s="5" t="inlineStr">
        <is>
          <t>Under Review</t>
        </is>
      </c>
      <c r="H18" s="8" t="n">
        <v>46367</v>
      </c>
      <c r="I18" s="7">
        <f>DATEDIF(TODAY(),H18,"D")</f>
        <v/>
      </c>
      <c r="J18" s="17" t="inlineStr">
        <is>
          <t>Failed</t>
        </is>
      </c>
      <c r="K18" s="7" t="inlineStr"/>
      <c r="L18" s="7" t="inlineStr"/>
      <c r="M18" s="7" t="inlineStr"/>
    </row>
    <row r="19">
      <c r="A19" s="3" t="inlineStr">
        <is>
          <t>AGT-1017</t>
        </is>
      </c>
      <c r="B19" s="3" t="inlineStr">
        <is>
          <t>Derek Thompson</t>
        </is>
      </c>
      <c r="C19" s="3" t="inlineStr">
        <is>
          <t>United Producers</t>
        </is>
      </c>
      <c r="D19" s="3" t="inlineStr">
        <is>
          <t>PA</t>
        </is>
      </c>
      <c r="E19" s="3" t="inlineStr">
        <is>
          <t>Tier 1</t>
        </is>
      </c>
      <c r="F19" s="4" t="n">
        <v>45828</v>
      </c>
      <c r="G19" s="14" t="inlineStr">
        <is>
          <t>Terminated</t>
        </is>
      </c>
      <c r="H19" s="4" t="n">
        <v>46175</v>
      </c>
      <c r="I19" s="3">
        <f>DATEDIF(TODAY(),H19,"D")</f>
        <v/>
      </c>
      <c r="J19" s="6" t="inlineStr">
        <is>
          <t>Pending</t>
        </is>
      </c>
      <c r="K19" s="3" t="n">
        <v>22</v>
      </c>
      <c r="L19" s="3" t="inlineStr"/>
      <c r="M19" s="3" t="inlineStr"/>
    </row>
    <row r="20">
      <c r="A20" s="7" t="inlineStr">
        <is>
          <t>AGT-1018</t>
        </is>
      </c>
      <c r="B20" s="7" t="inlineStr">
        <is>
          <t>Carlos Martin</t>
        </is>
      </c>
      <c r="C20" s="7" t="inlineStr">
        <is>
          <t>Apex Insurance Group</t>
        </is>
      </c>
      <c r="D20" s="7" t="inlineStr">
        <is>
          <t>NJ</t>
        </is>
      </c>
      <c r="E20" s="7" t="inlineStr">
        <is>
          <t>Tier 2</t>
        </is>
      </c>
      <c r="F20" s="8" t="n">
        <v>46005</v>
      </c>
      <c r="G20" s="9" t="inlineStr">
        <is>
          <t>Active</t>
        </is>
      </c>
      <c r="H20" s="8" t="n">
        <v>46610</v>
      </c>
      <c r="I20" s="7">
        <f>DATEDIF(TODAY(),H20,"D")</f>
        <v/>
      </c>
      <c r="J20" s="10" t="inlineStr">
        <is>
          <t>Passed</t>
        </is>
      </c>
      <c r="K20" s="7" t="n">
        <v>41</v>
      </c>
      <c r="L20" s="7" t="inlineStr"/>
      <c r="M20" s="7" t="inlineStr"/>
    </row>
    <row r="21">
      <c r="A21" s="3" t="inlineStr">
        <is>
          <t>AGT-1019</t>
        </is>
      </c>
      <c r="B21" s="3" t="inlineStr">
        <is>
          <t>David Williams</t>
        </is>
      </c>
      <c r="C21" s="3" t="inlineStr">
        <is>
          <t>Heritage Brokerage</t>
        </is>
      </c>
      <c r="D21" s="3" t="inlineStr">
        <is>
          <t>NJ</t>
        </is>
      </c>
      <c r="E21" s="3" t="inlineStr">
        <is>
          <t>Tier 3</t>
        </is>
      </c>
      <c r="F21" s="4" t="n">
        <v>45965</v>
      </c>
      <c r="G21" s="13" t="inlineStr">
        <is>
          <t>Applied</t>
        </is>
      </c>
      <c r="H21" s="4" t="n">
        <v>46313</v>
      </c>
      <c r="I21" s="3">
        <f>DATEDIF(TODAY(),H21,"D")</f>
        <v/>
      </c>
      <c r="J21" s="6" t="inlineStr">
        <is>
          <t>Pending</t>
        </is>
      </c>
      <c r="K21" s="3" t="inlineStr"/>
      <c r="L21" s="3" t="inlineStr"/>
      <c r="M21" s="3" t="inlineStr"/>
    </row>
    <row r="22">
      <c r="A22" s="7" t="inlineStr">
        <is>
          <t>AGT-1020</t>
        </is>
      </c>
      <c r="B22" s="7" t="inlineStr">
        <is>
          <t>Tyler Thompson</t>
        </is>
      </c>
      <c r="C22" s="7" t="inlineStr">
        <is>
          <t>United Producers</t>
        </is>
      </c>
      <c r="D22" s="7" t="inlineStr">
        <is>
          <t>TX</t>
        </is>
      </c>
      <c r="E22" s="7" t="inlineStr">
        <is>
          <t>Tier 1</t>
        </is>
      </c>
      <c r="F22" s="8" t="n">
        <v>46022</v>
      </c>
      <c r="G22" s="9" t="inlineStr">
        <is>
          <t>Active</t>
        </is>
      </c>
      <c r="H22" s="8" t="n">
        <v>46553</v>
      </c>
      <c r="I22" s="7">
        <f>DATEDIF(TODAY(),H22,"D")</f>
        <v/>
      </c>
      <c r="J22" s="15" t="inlineStr">
        <is>
          <t>Pending</t>
        </is>
      </c>
      <c r="K22" s="7" t="n">
        <v>13</v>
      </c>
      <c r="L22" s="7" t="inlineStr"/>
      <c r="M22" s="7" t="inlineStr">
        <is>
          <t>Awaiting license copy</t>
        </is>
      </c>
    </row>
    <row r="23">
      <c r="A23" s="3" t="inlineStr">
        <is>
          <t>AGT-1021</t>
        </is>
      </c>
      <c r="B23" s="3" t="inlineStr">
        <is>
          <t>John Thomas</t>
        </is>
      </c>
      <c r="C23" s="3" t="inlineStr">
        <is>
          <t>Heritage Brokerage</t>
        </is>
      </c>
      <c r="D23" s="3" t="inlineStr">
        <is>
          <t>IL</t>
        </is>
      </c>
      <c r="E23" s="3" t="inlineStr">
        <is>
          <t>Tier 2</t>
        </is>
      </c>
      <c r="F23" s="4" t="n">
        <v>45734</v>
      </c>
      <c r="G23" s="5" t="inlineStr">
        <is>
          <t>Under Review</t>
        </is>
      </c>
      <c r="H23" s="4" t="n">
        <v>46797</v>
      </c>
      <c r="I23" s="3">
        <f>DATEDIF(TODAY(),H23,"D")</f>
        <v/>
      </c>
      <c r="J23" s="12" t="inlineStr">
        <is>
          <t>Passed</t>
        </is>
      </c>
      <c r="K23" s="3" t="inlineStr"/>
      <c r="L23" s="3" t="inlineStr"/>
      <c r="M23" s="3" t="inlineStr"/>
    </row>
    <row r="24">
      <c r="A24" s="7" t="inlineStr">
        <is>
          <t>AGT-1022</t>
        </is>
      </c>
      <c r="B24" s="7" t="inlineStr">
        <is>
          <t>James Clark</t>
        </is>
      </c>
      <c r="C24" s="7" t="inlineStr">
        <is>
          <t>Nexus Insurance</t>
        </is>
      </c>
      <c r="D24" s="7" t="inlineStr">
        <is>
          <t>PA</t>
        </is>
      </c>
      <c r="E24" s="7" t="inlineStr">
        <is>
          <t>Tier 3</t>
        </is>
      </c>
      <c r="F24" s="8" t="n">
        <v>45961</v>
      </c>
      <c r="G24" s="5" t="inlineStr">
        <is>
          <t>Under Review</t>
        </is>
      </c>
      <c r="H24" s="8" t="n">
        <v>46132</v>
      </c>
      <c r="I24" s="7">
        <f>DATEDIF(TODAY(),H24,"D")</f>
        <v/>
      </c>
      <c r="J24" s="10" t="inlineStr">
        <is>
          <t>Passed</t>
        </is>
      </c>
      <c r="K24" s="7" t="inlineStr"/>
      <c r="L24" s="7" t="inlineStr"/>
      <c r="M24" s="7" t="inlineStr"/>
    </row>
    <row r="25">
      <c r="A25" s="3" t="inlineStr">
        <is>
          <t>AGT-1023</t>
        </is>
      </c>
      <c r="B25" s="3" t="inlineStr">
        <is>
          <t>Maria Davis</t>
        </is>
      </c>
      <c r="C25" s="3" t="inlineStr">
        <is>
          <t>Midwest Brokers LLC</t>
        </is>
      </c>
      <c r="D25" s="3" t="inlineStr">
        <is>
          <t>NY</t>
        </is>
      </c>
      <c r="E25" s="3" t="inlineStr">
        <is>
          <t>Tier 2</t>
        </is>
      </c>
      <c r="F25" s="4" t="n">
        <v>46084</v>
      </c>
      <c r="G25" s="13" t="inlineStr">
        <is>
          <t>Applied</t>
        </is>
      </c>
      <c r="H25" s="4" t="n">
        <v>46791</v>
      </c>
      <c r="I25" s="3">
        <f>DATEDIF(TODAY(),H25,"D")</f>
        <v/>
      </c>
      <c r="J25" s="6" t="inlineStr">
        <is>
          <t>Pending</t>
        </is>
      </c>
      <c r="K25" s="3" t="inlineStr"/>
      <c r="L25" s="3" t="inlineStr"/>
      <c r="M25" s="3" t="inlineStr"/>
    </row>
    <row r="26">
      <c r="A26" s="7" t="inlineStr">
        <is>
          <t>AGT-1024</t>
        </is>
      </c>
      <c r="B26" s="7" t="inlineStr">
        <is>
          <t>Lauren Miller</t>
        </is>
      </c>
      <c r="C26" s="7" t="inlineStr">
        <is>
          <t>Nexus Insurance</t>
        </is>
      </c>
      <c r="D26" s="7" t="inlineStr">
        <is>
          <t>CT</t>
        </is>
      </c>
      <c r="E26" s="7" t="inlineStr">
        <is>
          <t>Tier 3</t>
        </is>
      </c>
      <c r="F26" s="8" t="n">
        <v>45824</v>
      </c>
      <c r="G26" s="5" t="inlineStr">
        <is>
          <t>Under Review</t>
        </is>
      </c>
      <c r="H26" s="8" t="n">
        <v>46352</v>
      </c>
      <c r="I26" s="7">
        <f>DATEDIF(TODAY(),H26,"D")</f>
        <v/>
      </c>
      <c r="J26" s="15" t="inlineStr">
        <is>
          <t>Pending</t>
        </is>
      </c>
      <c r="K26" s="7" t="inlineStr"/>
      <c r="L26" s="7" t="inlineStr"/>
      <c r="M26" s="7" t="inlineStr">
        <is>
          <t>Awaiting license copy</t>
        </is>
      </c>
    </row>
    <row r="27">
      <c r="A27" s="3" t="inlineStr">
        <is>
          <t>AGT-1025</t>
        </is>
      </c>
      <c r="B27" s="3" t="inlineStr">
        <is>
          <t>Omar Brown</t>
        </is>
      </c>
      <c r="C27" s="3" t="inlineStr">
        <is>
          <t>Midwest Brokers LLC</t>
        </is>
      </c>
      <c r="D27" s="3" t="inlineStr">
        <is>
          <t>TX</t>
        </is>
      </c>
      <c r="E27" s="3" t="inlineStr">
        <is>
          <t>Tier 2</t>
        </is>
      </c>
      <c r="F27" s="4" t="n">
        <v>45792</v>
      </c>
      <c r="G27" s="9" t="inlineStr">
        <is>
          <t>Active</t>
        </is>
      </c>
      <c r="H27" s="4" t="n">
        <v>46315</v>
      </c>
      <c r="I27" s="3">
        <f>DATEDIF(TODAY(),H27,"D")</f>
        <v/>
      </c>
      <c r="J27" s="18" t="inlineStr">
        <is>
          <t>Failed</t>
        </is>
      </c>
      <c r="K27" s="3" t="n">
        <v>29</v>
      </c>
      <c r="L27" s="3" t="inlineStr"/>
      <c r="M27" s="3" t="inlineStr">
        <is>
          <t>Follow up needed</t>
        </is>
      </c>
    </row>
    <row r="28">
      <c r="A28" s="7" t="inlineStr">
        <is>
          <t>AGT-1026</t>
        </is>
      </c>
      <c r="B28" s="7" t="inlineStr">
        <is>
          <t>Eric Brown</t>
        </is>
      </c>
      <c r="C28" s="7" t="inlineStr">
        <is>
          <t>Apex Insurance Group</t>
        </is>
      </c>
      <c r="D28" s="7" t="inlineStr">
        <is>
          <t>TX</t>
        </is>
      </c>
      <c r="E28" s="7" t="inlineStr">
        <is>
          <t>Tier 3</t>
        </is>
      </c>
      <c r="F28" s="8" t="n">
        <v>45877</v>
      </c>
      <c r="G28" s="9" t="inlineStr">
        <is>
          <t>Active</t>
        </is>
      </c>
      <c r="H28" s="8" t="n">
        <v>46813</v>
      </c>
      <c r="I28" s="7">
        <f>DATEDIF(TODAY(),H28,"D")</f>
        <v/>
      </c>
      <c r="J28" s="10" t="inlineStr">
        <is>
          <t>Passed</t>
        </is>
      </c>
      <c r="K28" s="7" t="n">
        <v>44</v>
      </c>
      <c r="L28" s="7" t="inlineStr"/>
      <c r="M28" s="7" t="inlineStr"/>
    </row>
    <row r="29">
      <c r="A29" s="3" t="inlineStr">
        <is>
          <t>AGT-1027</t>
        </is>
      </c>
      <c r="B29" s="3" t="inlineStr">
        <is>
          <t>Yuki Harris</t>
        </is>
      </c>
      <c r="C29" s="3" t="inlineStr">
        <is>
          <t>BlueSky Agency</t>
        </is>
      </c>
      <c r="D29" s="3" t="inlineStr">
        <is>
          <t>TX</t>
        </is>
      </c>
      <c r="E29" s="3" t="inlineStr">
        <is>
          <t>Tier 1</t>
        </is>
      </c>
      <c r="F29" s="4" t="n">
        <v>46032</v>
      </c>
      <c r="G29" s="5" t="inlineStr">
        <is>
          <t>Under Review</t>
        </is>
      </c>
      <c r="H29" s="4" t="n">
        <v>46263</v>
      </c>
      <c r="I29" s="3">
        <f>DATEDIF(TODAY(),H29,"D")</f>
        <v/>
      </c>
      <c r="J29" s="12" t="inlineStr">
        <is>
          <t>Passed</t>
        </is>
      </c>
      <c r="K29" s="3" t="inlineStr"/>
      <c r="L29" s="3" t="inlineStr"/>
      <c r="M29" s="3" t="inlineStr"/>
    </row>
    <row r="30">
      <c r="A30" s="7" t="inlineStr">
        <is>
          <t>AGT-1028</t>
        </is>
      </c>
      <c r="B30" s="7" t="inlineStr">
        <is>
          <t>Olga Robinson</t>
        </is>
      </c>
      <c r="C30" s="7" t="inlineStr">
        <is>
          <t>Midwest Brokers LLC</t>
        </is>
      </c>
      <c r="D30" s="7" t="inlineStr">
        <is>
          <t>NY</t>
        </is>
      </c>
      <c r="E30" s="7" t="inlineStr">
        <is>
          <t>Tier 3</t>
        </is>
      </c>
      <c r="F30" s="8" t="n">
        <v>45851</v>
      </c>
      <c r="G30" s="5" t="inlineStr">
        <is>
          <t>Under Review</t>
        </is>
      </c>
      <c r="H30" s="8" t="n">
        <v>46144</v>
      </c>
      <c r="I30" s="7">
        <f>DATEDIF(TODAY(),H30,"D")</f>
        <v/>
      </c>
      <c r="J30" s="17" t="inlineStr">
        <is>
          <t>Failed</t>
        </is>
      </c>
      <c r="K30" s="7" t="inlineStr"/>
      <c r="L30" s="7" t="inlineStr"/>
      <c r="M30" s="7" t="inlineStr">
        <is>
          <t>Awaiting license copy</t>
        </is>
      </c>
    </row>
    <row r="31">
      <c r="A31" s="3" t="inlineStr">
        <is>
          <t>AGT-1029</t>
        </is>
      </c>
      <c r="B31" s="3" t="inlineStr">
        <is>
          <t>Fatima Martin</t>
        </is>
      </c>
      <c r="C31" s="3" t="inlineStr">
        <is>
          <t>Heritage Brokerage</t>
        </is>
      </c>
      <c r="D31" s="3" t="inlineStr">
        <is>
          <t>PA</t>
        </is>
      </c>
      <c r="E31" s="3" t="inlineStr">
        <is>
          <t>Tier 2</t>
        </is>
      </c>
      <c r="F31" s="4" t="n">
        <v>46080</v>
      </c>
      <c r="G31" s="13" t="inlineStr">
        <is>
          <t>Applied</t>
        </is>
      </c>
      <c r="H31" s="4" t="n">
        <v>46309</v>
      </c>
      <c r="I31" s="3">
        <f>DATEDIF(TODAY(),H31,"D")</f>
        <v/>
      </c>
      <c r="J31" s="12" t="inlineStr">
        <is>
          <t>Passed</t>
        </is>
      </c>
      <c r="K31" s="3" t="inlineStr"/>
      <c r="L31" s="3" t="inlineStr"/>
      <c r="M31" s="3" t="inlineStr"/>
    </row>
    <row r="32">
      <c r="A32" s="7" t="inlineStr">
        <is>
          <t>AGT-1030</t>
        </is>
      </c>
      <c r="B32" s="7" t="inlineStr">
        <is>
          <t>Rosa Harris</t>
        </is>
      </c>
      <c r="C32" s="7" t="inlineStr">
        <is>
          <t>Cornerstone Insurance</t>
        </is>
      </c>
      <c r="D32" s="7" t="inlineStr">
        <is>
          <t>TX</t>
        </is>
      </c>
      <c r="E32" s="7" t="inlineStr">
        <is>
          <t>Tier 3</t>
        </is>
      </c>
      <c r="F32" s="8" t="n">
        <v>46003</v>
      </c>
      <c r="G32" s="9" t="inlineStr">
        <is>
          <t>Active</t>
        </is>
      </c>
      <c r="H32" s="8" t="n">
        <v>46069</v>
      </c>
      <c r="I32" s="7">
        <f>DATEDIF(TODAY(),H32,"D")</f>
        <v/>
      </c>
      <c r="J32" s="17" t="inlineStr">
        <is>
          <t>Failed</t>
        </is>
      </c>
      <c r="K32" s="7" t="n">
        <v>19</v>
      </c>
      <c r="L32" s="7" t="inlineStr"/>
      <c r="M32" s="7" t="inlineStr">
        <is>
          <t>Priority enrollment</t>
        </is>
      </c>
    </row>
  </sheetData>
  <mergeCells count="1">
    <mergeCell ref="A1:M1"/>
  </mergeCells>
  <conditionalFormatting sqref="I3:I32">
    <cfRule type="cellIs" priority="1" operator="lessThan" dxfId="0">
      <formula>0</formula>
    </cfRule>
    <cfRule type="cellIs" priority="2" operator="between" dxfId="1">
      <formula>0</formula>
      <formula>29</formula>
    </cfRule>
    <cfRule type="cellIs" priority="3" operator="between" dxfId="2">
      <formula>30</formula>
      <formula>90</formula>
    </cfRule>
    <cfRule type="cellIs" priority="4" operator="greaterThan" dxfId="3">
      <formula>90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PRODUCER ONBOARDING TRACKER — KPI Dashboard</t>
        </is>
      </c>
    </row>
    <row r="3" ht="24" customHeight="1">
      <c r="A3" s="19" t="inlineStr">
        <is>
          <t xml:space="preserve">  📊  Agent Status Summary</t>
        </is>
      </c>
    </row>
    <row r="4" ht="22" customHeight="1">
      <c r="A4" s="20" t="inlineStr">
        <is>
          <t>Total Agents</t>
        </is>
      </c>
      <c r="B4" s="20" t="inlineStr">
        <is>
          <t>Active</t>
        </is>
      </c>
      <c r="C4" s="20" t="inlineStr">
        <is>
          <t>Under Review</t>
        </is>
      </c>
      <c r="D4" s="20" t="inlineStr">
        <is>
          <t>Pending Docs</t>
        </is>
      </c>
      <c r="E4" s="20" t="inlineStr">
        <is>
          <t>Applied</t>
        </is>
      </c>
      <c r="F4" s="20" t="inlineStr">
        <is>
          <t>Rejected</t>
        </is>
      </c>
      <c r="G4" s="20" t="inlineStr">
        <is>
          <t>Terminated</t>
        </is>
      </c>
    </row>
    <row r="5" ht="34" customHeight="1">
      <c r="A5" s="21">
        <f>COUNTA('Agent Master Data'!A3:A32)</f>
        <v/>
      </c>
      <c r="B5" s="22">
        <f>COUNTIF('Agent Master Data'!G3:G32,"Active")</f>
        <v/>
      </c>
      <c r="C5" s="23">
        <f>COUNTIF('Agent Master Data'!G3:G32,"Under Review")</f>
        <v/>
      </c>
      <c r="D5" s="24">
        <f>COUNTIF('Agent Master Data'!G3:G32,"Pending Docs")</f>
        <v/>
      </c>
      <c r="E5" s="25">
        <f>COUNTIF('Agent Master Data'!G3:G32,"Applied")</f>
        <v/>
      </c>
      <c r="F5" s="26">
        <f>COUNTIF('Agent Master Data'!G3:G32,"Rejected")</f>
        <v/>
      </c>
      <c r="G5" s="27">
        <f>COUNTIF('Agent Master Data'!G3:G32,"Terminated")</f>
        <v/>
      </c>
    </row>
    <row r="7" ht="24" customHeight="1">
      <c r="A7" s="19" t="inlineStr">
        <is>
          <t xml:space="preserve">  ⚡  Performance KPIs</t>
        </is>
      </c>
    </row>
    <row r="8" ht="22" customHeight="1">
      <c r="A8" s="20" t="inlineStr">
        <is>
          <t>Avg Processing Days</t>
        </is>
      </c>
      <c r="B8" s="20" t="inlineStr">
        <is>
          <t>Rejection Rate</t>
        </is>
      </c>
      <c r="C8" s="20" t="inlineStr">
        <is>
          <t>BG Check Pass Rate</t>
        </is>
      </c>
      <c r="D8" s="20" t="inlineStr">
        <is>
          <t>License Expiring &lt;30d</t>
        </is>
      </c>
    </row>
    <row r="9" ht="34" customHeight="1">
      <c r="A9" s="28">
        <f>AVERAGEIF('Agent Master Data'!K3:K32,"&gt;0",'Agent Master Data'!K3:K32)</f>
        <v/>
      </c>
      <c r="B9" s="29">
        <f>COUNTIF('Agent Master Data'!G3:G32,"Rejected")/COUNTA('Agent Master Data'!A3:A32)</f>
        <v/>
      </c>
      <c r="C9" s="30">
        <f>COUNTIF('Agent Master Data'!J3:J32,"Passed")/COUNTA('Agent Master Data'!A3:A32)</f>
        <v/>
      </c>
      <c r="D9" s="23">
        <f>COUNTIFS('Agent Master Data'!I3:I32,"&gt;="&amp;0,'Agent Master Data'!I3:I32,"&lt;="&amp;29)</f>
        <v/>
      </c>
    </row>
    <row r="11" ht="24" customHeight="1">
      <c r="A11" s="19" t="inlineStr">
        <is>
          <t xml:space="preserve">  📋  Status Breakdown by Tier</t>
        </is>
      </c>
    </row>
    <row r="12" ht="22" customHeight="1">
      <c r="A12" s="31" t="inlineStr">
        <is>
          <t>Tier</t>
        </is>
      </c>
      <c r="B12" s="31" t="inlineStr">
        <is>
          <t>Active</t>
        </is>
      </c>
      <c r="C12" s="31" t="inlineStr">
        <is>
          <t>Under Review / Pending</t>
        </is>
      </c>
      <c r="D12" s="31" t="inlineStr">
        <is>
          <t>Rejected / Terminated</t>
        </is>
      </c>
      <c r="E12" s="31" t="inlineStr">
        <is>
          <t>Total</t>
        </is>
      </c>
    </row>
    <row r="13" ht="20" customHeight="1">
      <c r="A13" s="32" t="inlineStr">
        <is>
          <t>Tier 1</t>
        </is>
      </c>
      <c r="B13" s="12">
        <f>COUNTIFS('Agent Master Data'!E3:E32,"Tier 1",'Agent Master Data'!G3:G32,"Active")</f>
        <v/>
      </c>
      <c r="C13" s="6">
        <f>COUNTIFS('Agent Master Data'!E3:E32,"Tier 1",'Agent Master Data'!G3:G32,"Under Review")+COUNTIFS('Agent Master Data'!E3:E32,"Tier 1",'Agent Master Data'!G3:G32,"Pending Docs")</f>
        <v/>
      </c>
      <c r="D13" s="18">
        <f>COUNTIFS('Agent Master Data'!E3:E32,"Tier 1",'Agent Master Data'!G3:G32,"Rejected")+COUNTIFS('Agent Master Data'!E3:E32,"Tier 1",'Agent Master Data'!G3:G32,"Terminated")</f>
        <v/>
      </c>
      <c r="E13" s="33">
        <f>COUNTIF('Agent Master Data'!E3:E32,"Tier 1")</f>
        <v/>
      </c>
    </row>
    <row r="14" ht="20" customHeight="1">
      <c r="A14" s="34" t="inlineStr">
        <is>
          <t>Tier 2</t>
        </is>
      </c>
      <c r="B14" s="10">
        <f>COUNTIFS('Agent Master Data'!E3:E32,"Tier 2",'Agent Master Data'!G3:G32,"Active")</f>
        <v/>
      </c>
      <c r="C14" s="15">
        <f>COUNTIFS('Agent Master Data'!E3:E32,"Tier 2",'Agent Master Data'!G3:G32,"Under Review")+COUNTIFS('Agent Master Data'!E3:E32,"Tier 2",'Agent Master Data'!G3:G32,"Pending Docs")</f>
        <v/>
      </c>
      <c r="D14" s="17">
        <f>COUNTIFS('Agent Master Data'!E3:E32,"Tier 2",'Agent Master Data'!G3:G32,"Rejected")+COUNTIFS('Agent Master Data'!E3:E32,"Tier 2",'Agent Master Data'!G3:G32,"Terminated")</f>
        <v/>
      </c>
      <c r="E14" s="35">
        <f>COUNTIF('Agent Master Data'!E3:E32,"Tier 2")</f>
        <v/>
      </c>
    </row>
    <row r="15" ht="20" customHeight="1">
      <c r="A15" s="32" t="inlineStr">
        <is>
          <t>Tier 3</t>
        </is>
      </c>
      <c r="B15" s="12">
        <f>COUNTIFS('Agent Master Data'!E3:E32,"Tier 3",'Agent Master Data'!G3:G32,"Active")</f>
        <v/>
      </c>
      <c r="C15" s="6">
        <f>COUNTIFS('Agent Master Data'!E3:E32,"Tier 3",'Agent Master Data'!G3:G32,"Under Review")+COUNTIFS('Agent Master Data'!E3:E32,"Tier 3",'Agent Master Data'!G3:G32,"Pending Docs")</f>
        <v/>
      </c>
      <c r="D15" s="18">
        <f>COUNTIFS('Agent Master Data'!E3:E32,"Tier 3",'Agent Master Data'!G3:G32,"Rejected")+COUNTIFS('Agent Master Data'!E3:E32,"Tier 3",'Agent Master Data'!G3:G32,"Terminated")</f>
        <v/>
      </c>
      <c r="E15" s="33">
        <f>COUNTIF('Agent Master Data'!E3:E32,"Tier 3")</f>
        <v/>
      </c>
    </row>
  </sheetData>
  <mergeCells count="4">
    <mergeCell ref="A3:D3"/>
    <mergeCell ref="A7:D7"/>
    <mergeCell ref="A1:L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8" customWidth="1" min="4" max="4"/>
    <col width="16" customWidth="1" min="5" max="5"/>
    <col width="16" customWidth="1" min="6" max="6"/>
    <col width="18" customWidth="1" min="7" max="7"/>
    <col width="20" customWidth="1" min="9" max="9"/>
    <col width="20" customWidth="1" min="10" max="10"/>
    <col width="20" customWidth="1" min="11" max="11"/>
  </cols>
  <sheetData>
    <row r="1" ht="36" customHeight="1">
      <c r="A1" s="1" t="inlineStr">
        <is>
          <t>LICENSE EXPIRY ALERTS — Auto-Flagged from Agent Master Data</t>
        </is>
      </c>
    </row>
    <row r="2" ht="28" customHeight="1">
      <c r="A2" s="36" t="inlineStr">
        <is>
          <t>Agent ID</t>
        </is>
      </c>
      <c r="B2" s="36" t="inlineStr">
        <is>
          <t>Agent Name</t>
        </is>
      </c>
      <c r="C2" s="36" t="inlineStr">
        <is>
          <t>Agency</t>
        </is>
      </c>
      <c r="D2" s="36" t="inlineStr">
        <is>
          <t>State</t>
        </is>
      </c>
      <c r="E2" s="36" t="inlineStr">
        <is>
          <t>License Expiry</t>
        </is>
      </c>
      <c r="F2" s="36" t="inlineStr">
        <is>
          <t>Days to Expiry</t>
        </is>
      </c>
      <c r="G2" s="36" t="inlineStr">
        <is>
          <t>Alert Level</t>
        </is>
      </c>
      <c r="I2" s="37" t="inlineStr">
        <is>
          <t>ALERT SUMMARY</t>
        </is>
      </c>
    </row>
    <row r="3" ht="20" customHeight="1">
      <c r="A3" s="38" t="inlineStr">
        <is>
          <t>AGT-1030</t>
        </is>
      </c>
      <c r="B3" s="38" t="inlineStr">
        <is>
          <t>Rosa Harris</t>
        </is>
      </c>
      <c r="C3" s="38" t="inlineStr">
        <is>
          <t>Cornerstone Insurance</t>
        </is>
      </c>
      <c r="D3" s="38" t="inlineStr">
        <is>
          <t>TX</t>
        </is>
      </c>
      <c r="E3" s="39" t="n">
        <v>46069</v>
      </c>
      <c r="F3" s="38" t="n">
        <v>-28</v>
      </c>
      <c r="G3" s="40" t="inlineStr">
        <is>
          <t>⛔ EXPIRED</t>
        </is>
      </c>
      <c r="I3" s="41" t="inlineStr">
        <is>
          <t>⛔ Expired</t>
        </is>
      </c>
      <c r="J3" s="42" t="n"/>
      <c r="K3" s="43" t="n">
        <v>2</v>
      </c>
    </row>
    <row r="4" ht="20" customHeight="1">
      <c r="A4" s="38" t="inlineStr">
        <is>
          <t>AGT-1003</t>
        </is>
      </c>
      <c r="B4" s="38" t="inlineStr">
        <is>
          <t>Marcus Robinson</t>
        </is>
      </c>
      <c r="C4" s="38" t="inlineStr">
        <is>
          <t>Summit Coverage LLC</t>
        </is>
      </c>
      <c r="D4" s="38" t="inlineStr">
        <is>
          <t>PA</t>
        </is>
      </c>
      <c r="E4" s="39" t="n">
        <v>46094</v>
      </c>
      <c r="F4" s="38" t="n">
        <v>-3</v>
      </c>
      <c r="G4" s="40" t="inlineStr">
        <is>
          <t>⛔ EXPIRED</t>
        </is>
      </c>
      <c r="I4" s="41" t="inlineStr">
        <is>
          <t>🔴 Critical (&lt;30d)</t>
        </is>
      </c>
      <c r="J4" s="42" t="n"/>
      <c r="K4" s="43" t="n">
        <v>0</v>
      </c>
    </row>
    <row r="5" ht="20" customHeight="1">
      <c r="A5" s="44" t="inlineStr">
        <is>
          <t>AGT-1025</t>
        </is>
      </c>
      <c r="B5" s="44" t="inlineStr">
        <is>
          <t>Omar Brown</t>
        </is>
      </c>
      <c r="C5" s="44" t="inlineStr">
        <is>
          <t>Midwest Brokers LLC</t>
        </is>
      </c>
      <c r="D5" s="44" t="inlineStr">
        <is>
          <t>TX</t>
        </is>
      </c>
      <c r="E5" s="45" t="n">
        <v>46315</v>
      </c>
      <c r="F5" s="44" t="n">
        <v>218</v>
      </c>
      <c r="G5" s="46" t="inlineStr">
        <is>
          <t>🟢 OK (&gt;90d)</t>
        </is>
      </c>
      <c r="I5" s="41" t="inlineStr">
        <is>
          <t>🟡 Warning (30-90d)</t>
        </is>
      </c>
      <c r="J5" s="42" t="n"/>
      <c r="K5" s="47" t="n">
        <v>0</v>
      </c>
    </row>
    <row r="6" ht="20" customHeight="1">
      <c r="A6" s="44" t="inlineStr">
        <is>
          <t>AGT-1020</t>
        </is>
      </c>
      <c r="B6" s="44" t="inlineStr">
        <is>
          <t>Tyler Thompson</t>
        </is>
      </c>
      <c r="C6" s="44" t="inlineStr">
        <is>
          <t>United Producers</t>
        </is>
      </c>
      <c r="D6" s="44" t="inlineStr">
        <is>
          <t>TX</t>
        </is>
      </c>
      <c r="E6" s="45" t="n">
        <v>46553</v>
      </c>
      <c r="F6" s="44" t="n">
        <v>456</v>
      </c>
      <c r="G6" s="46" t="inlineStr">
        <is>
          <t>🟢 OK (&gt;90d)</t>
        </is>
      </c>
      <c r="I6" s="41" t="inlineStr">
        <is>
          <t>🟢 OK (&gt;90d)</t>
        </is>
      </c>
      <c r="J6" s="42" t="n"/>
      <c r="K6" s="48" t="n">
        <v>8</v>
      </c>
    </row>
    <row r="7" ht="20" customHeight="1">
      <c r="A7" s="44" t="inlineStr">
        <is>
          <t>AGT-1015</t>
        </is>
      </c>
      <c r="B7" s="44" t="inlineStr">
        <is>
          <t>Anita Smith</t>
        </is>
      </c>
      <c r="C7" s="44" t="inlineStr">
        <is>
          <t>Midwest Brokers LLC</t>
        </is>
      </c>
      <c r="D7" s="44" t="inlineStr">
        <is>
          <t>IL</t>
        </is>
      </c>
      <c r="E7" s="45" t="n">
        <v>46608</v>
      </c>
      <c r="F7" s="44" t="n">
        <v>511</v>
      </c>
      <c r="G7" s="46" t="inlineStr">
        <is>
          <t>🟢 OK (&gt;90d)</t>
        </is>
      </c>
    </row>
    <row r="8" ht="20" customHeight="1">
      <c r="A8" s="44" t="inlineStr">
        <is>
          <t>AGT-1018</t>
        </is>
      </c>
      <c r="B8" s="44" t="inlineStr">
        <is>
          <t>Carlos Martin</t>
        </is>
      </c>
      <c r="C8" s="44" t="inlineStr">
        <is>
          <t>Apex Insurance Group</t>
        </is>
      </c>
      <c r="D8" s="44" t="inlineStr">
        <is>
          <t>NJ</t>
        </is>
      </c>
      <c r="E8" s="45" t="n">
        <v>46610</v>
      </c>
      <c r="F8" s="44" t="n">
        <v>513</v>
      </c>
      <c r="G8" s="46" t="inlineStr">
        <is>
          <t>🟢 OK (&gt;90d)</t>
        </is>
      </c>
    </row>
    <row r="9" ht="20" customHeight="1">
      <c r="A9" s="44" t="inlineStr">
        <is>
          <t>AGT-1002</t>
        </is>
      </c>
      <c r="B9" s="44" t="inlineStr">
        <is>
          <t>Fatima Johnson</t>
        </is>
      </c>
      <c r="C9" s="44" t="inlineStr">
        <is>
          <t>Apex Insurance Group</t>
        </is>
      </c>
      <c r="D9" s="44" t="inlineStr">
        <is>
          <t>NJ</t>
        </is>
      </c>
      <c r="E9" s="45" t="n">
        <v>46625</v>
      </c>
      <c r="F9" s="44" t="n">
        <v>528</v>
      </c>
      <c r="G9" s="46" t="inlineStr">
        <is>
          <t>🟢 OK (&gt;90d)</t>
        </is>
      </c>
    </row>
    <row r="10" ht="20" customHeight="1">
      <c r="A10" s="44" t="inlineStr">
        <is>
          <t>AGT-1013</t>
        </is>
      </c>
      <c r="B10" s="44" t="inlineStr">
        <is>
          <t>Aisha Jones</t>
        </is>
      </c>
      <c r="C10" s="44" t="inlineStr">
        <is>
          <t>Nexus Insurance</t>
        </is>
      </c>
      <c r="D10" s="44" t="inlineStr">
        <is>
          <t>FL</t>
        </is>
      </c>
      <c r="E10" s="45" t="n">
        <v>46664</v>
      </c>
      <c r="F10" s="44" t="n">
        <v>567</v>
      </c>
      <c r="G10" s="46" t="inlineStr">
        <is>
          <t>🟢 OK (&gt;90d)</t>
        </is>
      </c>
    </row>
    <row r="11" ht="20" customHeight="1">
      <c r="A11" s="44" t="inlineStr">
        <is>
          <t>AGT-1008</t>
        </is>
      </c>
      <c r="B11" s="44" t="inlineStr">
        <is>
          <t>Mei Thomas</t>
        </is>
      </c>
      <c r="C11" s="44" t="inlineStr">
        <is>
          <t>Premier Risk Partners</t>
        </is>
      </c>
      <c r="D11" s="44" t="inlineStr">
        <is>
          <t>MA</t>
        </is>
      </c>
      <c r="E11" s="45" t="n">
        <v>46717</v>
      </c>
      <c r="F11" s="44" t="n">
        <v>620</v>
      </c>
      <c r="G11" s="46" t="inlineStr">
        <is>
          <t>🟢 OK (&gt;90d)</t>
        </is>
      </c>
    </row>
    <row r="12" ht="20" customHeight="1">
      <c r="A12" s="44" t="inlineStr">
        <is>
          <t>AGT-1026</t>
        </is>
      </c>
      <c r="B12" s="44" t="inlineStr">
        <is>
          <t>Eric Brown</t>
        </is>
      </c>
      <c r="C12" s="44" t="inlineStr">
        <is>
          <t>Apex Insurance Group</t>
        </is>
      </c>
      <c r="D12" s="44" t="inlineStr">
        <is>
          <t>TX</t>
        </is>
      </c>
      <c r="E12" s="45" t="n">
        <v>46813</v>
      </c>
      <c r="F12" s="44" t="n">
        <v>716</v>
      </c>
      <c r="G12" s="46" t="inlineStr">
        <is>
          <t>🟢 OK (&gt;90d)</t>
        </is>
      </c>
    </row>
  </sheetData>
  <mergeCells count="6">
    <mergeCell ref="I4:J4"/>
    <mergeCell ref="I2:K2"/>
    <mergeCell ref="A1:G1"/>
    <mergeCell ref="I6:J6"/>
    <mergeCell ref="I5:J5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A589"/>
    <outlinePr summaryBelow="1" summaryRight="1"/>
    <pageSetUpPr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8" customWidth="1" min="4" max="4"/>
    <col width="10" customWidth="1" min="5" max="5"/>
    <col width="16" customWidth="1" min="6" max="6"/>
    <col width="18" customWidth="1" min="7" max="7"/>
    <col width="26" customWidth="1" min="8" max="8"/>
    <col width="18" customWidth="1" min="10" max="10"/>
    <col width="18" customWidth="1" min="11" max="11"/>
    <col width="18" customWidth="1" min="12" max="12"/>
  </cols>
  <sheetData>
    <row r="1" ht="36" customHeight="1">
      <c r="A1" s="1" t="inlineStr">
        <is>
          <t>BACKGROUND CHECK TRACKER — Producer Onboarding</t>
        </is>
      </c>
    </row>
    <row r="2" ht="28" customHeight="1">
      <c r="A2" s="36" t="inlineStr">
        <is>
          <t>Agent ID</t>
        </is>
      </c>
      <c r="B2" s="36" t="inlineStr">
        <is>
          <t>Agent Name</t>
        </is>
      </c>
      <c r="C2" s="36" t="inlineStr">
        <is>
          <t>Agency</t>
        </is>
      </c>
      <c r="D2" s="36" t="inlineStr">
        <is>
          <t>State</t>
        </is>
      </c>
      <c r="E2" s="36" t="inlineStr">
        <is>
          <t>Tier</t>
        </is>
      </c>
      <c r="F2" s="36" t="inlineStr">
        <is>
          <t>App Date</t>
        </is>
      </c>
      <c r="G2" s="36" t="inlineStr">
        <is>
          <t>BG Check Status</t>
        </is>
      </c>
      <c r="H2" s="36" t="inlineStr">
        <is>
          <t>Action Required</t>
        </is>
      </c>
      <c r="J2" s="37" t="inlineStr">
        <is>
          <t>BG CHECK SUMMARY</t>
        </is>
      </c>
    </row>
    <row r="3" ht="20" customHeight="1">
      <c r="A3" s="38" t="inlineStr">
        <is>
          <t>AGT-1012</t>
        </is>
      </c>
      <c r="B3" s="38" t="inlineStr">
        <is>
          <t>Tyler Jones</t>
        </is>
      </c>
      <c r="C3" s="38" t="inlineStr">
        <is>
          <t>Premier Risk Partners</t>
        </is>
      </c>
      <c r="D3" s="38" t="inlineStr">
        <is>
          <t>IL</t>
        </is>
      </c>
      <c r="E3" s="38" t="inlineStr">
        <is>
          <t>Tier 3</t>
        </is>
      </c>
      <c r="F3" s="39" t="n">
        <v>45885</v>
      </c>
      <c r="G3" s="40" t="inlineStr">
        <is>
          <t>Failed</t>
        </is>
      </c>
      <c r="H3" s="40" t="inlineStr">
        <is>
          <t>🚨 Escalate to Manager</t>
        </is>
      </c>
      <c r="J3" s="41" t="inlineStr">
        <is>
          <t>✅ Passed</t>
        </is>
      </c>
      <c r="K3" s="42" t="n"/>
      <c r="L3" s="48" t="n">
        <v>15</v>
      </c>
    </row>
    <row r="4" ht="20" customHeight="1">
      <c r="A4" s="38" t="inlineStr">
        <is>
          <t>AGT-1013</t>
        </is>
      </c>
      <c r="B4" s="38" t="inlineStr">
        <is>
          <t>Aisha Jones</t>
        </is>
      </c>
      <c r="C4" s="38" t="inlineStr">
        <is>
          <t>Nexus Insurance</t>
        </is>
      </c>
      <c r="D4" s="38" t="inlineStr">
        <is>
          <t>FL</t>
        </is>
      </c>
      <c r="E4" s="38" t="inlineStr">
        <is>
          <t>Tier 1</t>
        </is>
      </c>
      <c r="F4" s="39" t="n">
        <v>45788</v>
      </c>
      <c r="G4" s="40" t="inlineStr">
        <is>
          <t>Failed</t>
        </is>
      </c>
      <c r="H4" s="40" t="inlineStr">
        <is>
          <t>🚨 Escalate to Manager</t>
        </is>
      </c>
      <c r="J4" s="41" t="inlineStr">
        <is>
          <t>⏳ Pending</t>
        </is>
      </c>
      <c r="K4" s="42" t="n"/>
      <c r="L4" s="47" t="n">
        <v>9</v>
      </c>
    </row>
    <row r="5" ht="20" customHeight="1">
      <c r="A5" s="38" t="inlineStr">
        <is>
          <t>AGT-1016</t>
        </is>
      </c>
      <c r="B5" s="38" t="inlineStr">
        <is>
          <t>Sandra Harris</t>
        </is>
      </c>
      <c r="C5" s="38" t="inlineStr">
        <is>
          <t>Apex Insurance Group</t>
        </is>
      </c>
      <c r="D5" s="38" t="inlineStr">
        <is>
          <t>MA</t>
        </is>
      </c>
      <c r="E5" s="38" t="inlineStr">
        <is>
          <t>Tier 3</t>
        </is>
      </c>
      <c r="F5" s="39" t="n">
        <v>45913</v>
      </c>
      <c r="G5" s="40" t="inlineStr">
        <is>
          <t>Failed</t>
        </is>
      </c>
      <c r="H5" s="40" t="inlineStr">
        <is>
          <t>🚨 Escalate to Manager</t>
        </is>
      </c>
      <c r="J5" s="41" t="inlineStr">
        <is>
          <t>🚨 Failed</t>
        </is>
      </c>
      <c r="K5" s="42" t="n"/>
      <c r="L5" s="43" t="n">
        <v>6</v>
      </c>
    </row>
    <row r="6" ht="20" customHeight="1">
      <c r="A6" s="38" t="inlineStr">
        <is>
          <t>AGT-1025</t>
        </is>
      </c>
      <c r="B6" s="38" t="inlineStr">
        <is>
          <t>Omar Brown</t>
        </is>
      </c>
      <c r="C6" s="38" t="inlineStr">
        <is>
          <t>Midwest Brokers LLC</t>
        </is>
      </c>
      <c r="D6" s="38" t="inlineStr">
        <is>
          <t>TX</t>
        </is>
      </c>
      <c r="E6" s="38" t="inlineStr">
        <is>
          <t>Tier 2</t>
        </is>
      </c>
      <c r="F6" s="39" t="n">
        <v>45792</v>
      </c>
      <c r="G6" s="40" t="inlineStr">
        <is>
          <t>Failed</t>
        </is>
      </c>
      <c r="H6" s="40" t="inlineStr">
        <is>
          <t>🚨 Escalate to Manager</t>
        </is>
      </c>
      <c r="J6" s="41" t="inlineStr">
        <is>
          <t>Pass Rate</t>
        </is>
      </c>
      <c r="K6" s="42" t="n"/>
      <c r="L6" s="49" t="inlineStr">
        <is>
          <t>50.0%</t>
        </is>
      </c>
    </row>
    <row r="7" ht="20" customHeight="1">
      <c r="A7" s="38" t="inlineStr">
        <is>
          <t>AGT-1028</t>
        </is>
      </c>
      <c r="B7" s="38" t="inlineStr">
        <is>
          <t>Olga Robinson</t>
        </is>
      </c>
      <c r="C7" s="38" t="inlineStr">
        <is>
          <t>Midwest Brokers LLC</t>
        </is>
      </c>
      <c r="D7" s="38" t="inlineStr">
        <is>
          <t>NY</t>
        </is>
      </c>
      <c r="E7" s="38" t="inlineStr">
        <is>
          <t>Tier 3</t>
        </is>
      </c>
      <c r="F7" s="39" t="n">
        <v>45851</v>
      </c>
      <c r="G7" s="40" t="inlineStr">
        <is>
          <t>Failed</t>
        </is>
      </c>
      <c r="H7" s="40" t="inlineStr">
        <is>
          <t>🚨 Escalate to Manager</t>
        </is>
      </c>
    </row>
    <row r="8" ht="20" customHeight="1">
      <c r="A8" s="38" t="inlineStr">
        <is>
          <t>AGT-1030</t>
        </is>
      </c>
      <c r="B8" s="38" t="inlineStr">
        <is>
          <t>Rosa Harris</t>
        </is>
      </c>
      <c r="C8" s="38" t="inlineStr">
        <is>
          <t>Cornerstone Insurance</t>
        </is>
      </c>
      <c r="D8" s="38" t="inlineStr">
        <is>
          <t>TX</t>
        </is>
      </c>
      <c r="E8" s="38" t="inlineStr">
        <is>
          <t>Tier 3</t>
        </is>
      </c>
      <c r="F8" s="39" t="n">
        <v>46003</v>
      </c>
      <c r="G8" s="40" t="inlineStr">
        <is>
          <t>Failed</t>
        </is>
      </c>
      <c r="H8" s="40" t="inlineStr">
        <is>
          <t>🚨 Escalate to Manager</t>
        </is>
      </c>
    </row>
    <row r="9" ht="20" customHeight="1">
      <c r="A9" s="50" t="inlineStr">
        <is>
          <t>AGT-1001</t>
        </is>
      </c>
      <c r="B9" s="50" t="inlineStr">
        <is>
          <t>Tyler Davis</t>
        </is>
      </c>
      <c r="C9" s="50" t="inlineStr">
        <is>
          <t>Premier Risk Partners</t>
        </is>
      </c>
      <c r="D9" s="50" t="inlineStr">
        <is>
          <t>CT</t>
        </is>
      </c>
      <c r="E9" s="50" t="inlineStr">
        <is>
          <t>Tier 3</t>
        </is>
      </c>
      <c r="F9" s="51" t="n">
        <v>45760</v>
      </c>
      <c r="G9" s="5" t="inlineStr">
        <is>
          <t>Pending</t>
        </is>
      </c>
      <c r="H9" s="5" t="inlineStr">
        <is>
          <t>⏳ Follow Up Required</t>
        </is>
      </c>
    </row>
    <row r="10" ht="20" customHeight="1">
      <c r="A10" s="50" t="inlineStr">
        <is>
          <t>AGT-1003</t>
        </is>
      </c>
      <c r="B10" s="50" t="inlineStr">
        <is>
          <t>Marcus Robinson</t>
        </is>
      </c>
      <c r="C10" s="50" t="inlineStr">
        <is>
          <t>Summit Coverage LLC</t>
        </is>
      </c>
      <c r="D10" s="50" t="inlineStr">
        <is>
          <t>PA</t>
        </is>
      </c>
      <c r="E10" s="50" t="inlineStr">
        <is>
          <t>Tier 2</t>
        </is>
      </c>
      <c r="F10" s="51" t="n">
        <v>45829</v>
      </c>
      <c r="G10" s="5" t="inlineStr">
        <is>
          <t>Pending</t>
        </is>
      </c>
      <c r="H10" s="5" t="inlineStr">
        <is>
          <t>⏳ Follow Up Required</t>
        </is>
      </c>
    </row>
    <row r="11" ht="20" customHeight="1">
      <c r="A11" s="50" t="inlineStr">
        <is>
          <t>AGT-1009</t>
        </is>
      </c>
      <c r="B11" s="50" t="inlineStr">
        <is>
          <t>Sandra Robinson</t>
        </is>
      </c>
      <c r="C11" s="50" t="inlineStr">
        <is>
          <t>Premier Risk Partners</t>
        </is>
      </c>
      <c r="D11" s="50" t="inlineStr">
        <is>
          <t>CT</t>
        </is>
      </c>
      <c r="E11" s="50" t="inlineStr">
        <is>
          <t>Tier 2</t>
        </is>
      </c>
      <c r="F11" s="51" t="n">
        <v>45756</v>
      </c>
      <c r="G11" s="5" t="inlineStr">
        <is>
          <t>Pending</t>
        </is>
      </c>
      <c r="H11" s="5" t="inlineStr">
        <is>
          <t>⏳ Follow Up Required</t>
        </is>
      </c>
    </row>
    <row r="12" ht="20" customHeight="1">
      <c r="A12" s="50" t="inlineStr">
        <is>
          <t>AGT-1010</t>
        </is>
      </c>
      <c r="B12" s="50" t="inlineStr">
        <is>
          <t>Aisha Anderson</t>
        </is>
      </c>
      <c r="C12" s="50" t="inlineStr">
        <is>
          <t>Apex Insurance Group</t>
        </is>
      </c>
      <c r="D12" s="50" t="inlineStr">
        <is>
          <t>PA</t>
        </is>
      </c>
      <c r="E12" s="50" t="inlineStr">
        <is>
          <t>Tier 1</t>
        </is>
      </c>
      <c r="F12" s="51" t="n">
        <v>45949</v>
      </c>
      <c r="G12" s="5" t="inlineStr">
        <is>
          <t>Pending</t>
        </is>
      </c>
      <c r="H12" s="5" t="inlineStr">
        <is>
          <t>⏳ Follow Up Required</t>
        </is>
      </c>
    </row>
    <row r="13" ht="20" customHeight="1">
      <c r="A13" s="50" t="inlineStr">
        <is>
          <t>AGT-1017</t>
        </is>
      </c>
      <c r="B13" s="50" t="inlineStr">
        <is>
          <t>Derek Thompson</t>
        </is>
      </c>
      <c r="C13" s="50" t="inlineStr">
        <is>
          <t>United Producers</t>
        </is>
      </c>
      <c r="D13" s="50" t="inlineStr">
        <is>
          <t>PA</t>
        </is>
      </c>
      <c r="E13" s="50" t="inlineStr">
        <is>
          <t>Tier 1</t>
        </is>
      </c>
      <c r="F13" s="51" t="n">
        <v>45828</v>
      </c>
      <c r="G13" s="5" t="inlineStr">
        <is>
          <t>Pending</t>
        </is>
      </c>
      <c r="H13" s="5" t="inlineStr">
        <is>
          <t>⏳ Follow Up Required</t>
        </is>
      </c>
    </row>
    <row r="14" ht="20" customHeight="1">
      <c r="A14" s="50" t="inlineStr">
        <is>
          <t>AGT-1019</t>
        </is>
      </c>
      <c r="B14" s="50" t="inlineStr">
        <is>
          <t>David Williams</t>
        </is>
      </c>
      <c r="C14" s="50" t="inlineStr">
        <is>
          <t>Heritage Brokerage</t>
        </is>
      </c>
      <c r="D14" s="50" t="inlineStr">
        <is>
          <t>NJ</t>
        </is>
      </c>
      <c r="E14" s="50" t="inlineStr">
        <is>
          <t>Tier 3</t>
        </is>
      </c>
      <c r="F14" s="51" t="n">
        <v>45965</v>
      </c>
      <c r="G14" s="5" t="inlineStr">
        <is>
          <t>Pending</t>
        </is>
      </c>
      <c r="H14" s="5" t="inlineStr">
        <is>
          <t>⏳ Follow Up Required</t>
        </is>
      </c>
    </row>
    <row r="15" ht="20" customHeight="1">
      <c r="A15" s="50" t="inlineStr">
        <is>
          <t>AGT-1020</t>
        </is>
      </c>
      <c r="B15" s="50" t="inlineStr">
        <is>
          <t>Tyler Thompson</t>
        </is>
      </c>
      <c r="C15" s="50" t="inlineStr">
        <is>
          <t>United Producers</t>
        </is>
      </c>
      <c r="D15" s="50" t="inlineStr">
        <is>
          <t>TX</t>
        </is>
      </c>
      <c r="E15" s="50" t="inlineStr">
        <is>
          <t>Tier 1</t>
        </is>
      </c>
      <c r="F15" s="51" t="n">
        <v>46022</v>
      </c>
      <c r="G15" s="5" t="inlineStr">
        <is>
          <t>Pending</t>
        </is>
      </c>
      <c r="H15" s="5" t="inlineStr">
        <is>
          <t>⏳ Follow Up Required</t>
        </is>
      </c>
    </row>
    <row r="16" ht="20" customHeight="1">
      <c r="A16" s="50" t="inlineStr">
        <is>
          <t>AGT-1023</t>
        </is>
      </c>
      <c r="B16" s="50" t="inlineStr">
        <is>
          <t>Maria Davis</t>
        </is>
      </c>
      <c r="C16" s="50" t="inlineStr">
        <is>
          <t>Midwest Brokers LLC</t>
        </is>
      </c>
      <c r="D16" s="50" t="inlineStr">
        <is>
          <t>NY</t>
        </is>
      </c>
      <c r="E16" s="50" t="inlineStr">
        <is>
          <t>Tier 2</t>
        </is>
      </c>
      <c r="F16" s="51" t="n">
        <v>46084</v>
      </c>
      <c r="G16" s="5" t="inlineStr">
        <is>
          <t>Pending</t>
        </is>
      </c>
      <c r="H16" s="5" t="inlineStr">
        <is>
          <t>⏳ Follow Up Required</t>
        </is>
      </c>
    </row>
    <row r="17" ht="20" customHeight="1">
      <c r="A17" s="50" t="inlineStr">
        <is>
          <t>AGT-1024</t>
        </is>
      </c>
      <c r="B17" s="50" t="inlineStr">
        <is>
          <t>Lauren Miller</t>
        </is>
      </c>
      <c r="C17" s="50" t="inlineStr">
        <is>
          <t>Nexus Insurance</t>
        </is>
      </c>
      <c r="D17" s="50" t="inlineStr">
        <is>
          <t>CT</t>
        </is>
      </c>
      <c r="E17" s="50" t="inlineStr">
        <is>
          <t>Tier 3</t>
        </is>
      </c>
      <c r="F17" s="51" t="n">
        <v>45824</v>
      </c>
      <c r="G17" s="5" t="inlineStr">
        <is>
          <t>Pending</t>
        </is>
      </c>
      <c r="H17" s="5" t="inlineStr">
        <is>
          <t>⏳ Follow Up Required</t>
        </is>
      </c>
    </row>
    <row r="18" ht="20" customHeight="1">
      <c r="A18" s="52" t="inlineStr">
        <is>
          <t>AGT-1002</t>
        </is>
      </c>
      <c r="B18" s="52" t="inlineStr">
        <is>
          <t>Fatima Johnson</t>
        </is>
      </c>
      <c r="C18" s="52" t="inlineStr">
        <is>
          <t>Apex Insurance Group</t>
        </is>
      </c>
      <c r="D18" s="52" t="inlineStr">
        <is>
          <t>NJ</t>
        </is>
      </c>
      <c r="E18" s="52" t="inlineStr">
        <is>
          <t>Tier 1</t>
        </is>
      </c>
      <c r="F18" s="53" t="n">
        <v>45741</v>
      </c>
      <c r="G18" s="10" t="inlineStr">
        <is>
          <t>Passed</t>
        </is>
      </c>
      <c r="H18" s="10" t="inlineStr">
        <is>
          <t>✅ No Action Needed</t>
        </is>
      </c>
    </row>
    <row r="19" ht="20" customHeight="1">
      <c r="A19" s="54" t="inlineStr">
        <is>
          <t>AGT-1004</t>
        </is>
      </c>
      <c r="B19" s="54" t="inlineStr">
        <is>
          <t>Tyler Jones</t>
        </is>
      </c>
      <c r="C19" s="54" t="inlineStr">
        <is>
          <t>Premier Risk Partners</t>
        </is>
      </c>
      <c r="D19" s="54" t="inlineStr">
        <is>
          <t>CA</t>
        </is>
      </c>
      <c r="E19" s="54" t="inlineStr">
        <is>
          <t>Tier 1</t>
        </is>
      </c>
      <c r="F19" s="55" t="n">
        <v>45945</v>
      </c>
      <c r="G19" s="12" t="inlineStr">
        <is>
          <t>Passed</t>
        </is>
      </c>
      <c r="H19" s="12" t="inlineStr">
        <is>
          <t>✅ No Action Needed</t>
        </is>
      </c>
    </row>
    <row r="20" ht="20" customHeight="1">
      <c r="A20" s="52" t="inlineStr">
        <is>
          <t>AGT-1005</t>
        </is>
      </c>
      <c r="B20" s="52" t="inlineStr">
        <is>
          <t>Sofia Martinez</t>
        </is>
      </c>
      <c r="C20" s="52" t="inlineStr">
        <is>
          <t>Apex Insurance Group</t>
        </is>
      </c>
      <c r="D20" s="52" t="inlineStr">
        <is>
          <t>FL</t>
        </is>
      </c>
      <c r="E20" s="52" t="inlineStr">
        <is>
          <t>Tier 3</t>
        </is>
      </c>
      <c r="F20" s="53" t="n">
        <v>45893</v>
      </c>
      <c r="G20" s="10" t="inlineStr">
        <is>
          <t>Passed</t>
        </is>
      </c>
      <c r="H20" s="10" t="inlineStr">
        <is>
          <t>✅ No Action Needed</t>
        </is>
      </c>
    </row>
    <row r="21" ht="20" customHeight="1">
      <c r="A21" s="54" t="inlineStr">
        <is>
          <t>AGT-1006</t>
        </is>
      </c>
      <c r="B21" s="54" t="inlineStr">
        <is>
          <t>Derek Rodriguez</t>
        </is>
      </c>
      <c r="C21" s="54" t="inlineStr">
        <is>
          <t>Atlantic Agents Co</t>
        </is>
      </c>
      <c r="D21" s="54" t="inlineStr">
        <is>
          <t>OH</t>
        </is>
      </c>
      <c r="E21" s="54" t="inlineStr">
        <is>
          <t>Tier 1</t>
        </is>
      </c>
      <c r="F21" s="55" t="n">
        <v>45894</v>
      </c>
      <c r="G21" s="12" t="inlineStr">
        <is>
          <t>Passed</t>
        </is>
      </c>
      <c r="H21" s="12" t="inlineStr">
        <is>
          <t>✅ No Action Needed</t>
        </is>
      </c>
    </row>
    <row r="22" ht="20" customHeight="1">
      <c r="A22" s="52" t="inlineStr">
        <is>
          <t>AGT-1007</t>
        </is>
      </c>
      <c r="B22" s="52" t="inlineStr">
        <is>
          <t>Trevor Wilson</t>
        </is>
      </c>
      <c r="C22" s="52" t="inlineStr">
        <is>
          <t>Midwest Brokers LLC</t>
        </is>
      </c>
      <c r="D22" s="52" t="inlineStr">
        <is>
          <t>PA</t>
        </is>
      </c>
      <c r="E22" s="52" t="inlineStr">
        <is>
          <t>Tier 1</t>
        </is>
      </c>
      <c r="F22" s="53" t="n">
        <v>46052</v>
      </c>
      <c r="G22" s="10" t="inlineStr">
        <is>
          <t>Passed</t>
        </is>
      </c>
      <c r="H22" s="10" t="inlineStr">
        <is>
          <t>✅ No Action Needed</t>
        </is>
      </c>
    </row>
    <row r="23" ht="20" customHeight="1">
      <c r="A23" s="54" t="inlineStr">
        <is>
          <t>AGT-1008</t>
        </is>
      </c>
      <c r="B23" s="54" t="inlineStr">
        <is>
          <t>Mei Thomas</t>
        </is>
      </c>
      <c r="C23" s="54" t="inlineStr">
        <is>
          <t>Premier Risk Partners</t>
        </is>
      </c>
      <c r="D23" s="54" t="inlineStr">
        <is>
          <t>MA</t>
        </is>
      </c>
      <c r="E23" s="54" t="inlineStr">
        <is>
          <t>Tier 3</t>
        </is>
      </c>
      <c r="F23" s="55" t="n">
        <v>45945</v>
      </c>
      <c r="G23" s="12" t="inlineStr">
        <is>
          <t>Passed</t>
        </is>
      </c>
      <c r="H23" s="12" t="inlineStr">
        <is>
          <t>✅ No Action Needed</t>
        </is>
      </c>
    </row>
    <row r="24" ht="20" customHeight="1">
      <c r="A24" s="52" t="inlineStr">
        <is>
          <t>AGT-1011</t>
        </is>
      </c>
      <c r="B24" s="52" t="inlineStr">
        <is>
          <t>Rosa Clark</t>
        </is>
      </c>
      <c r="C24" s="52" t="inlineStr">
        <is>
          <t>Atlantic Agents Co</t>
        </is>
      </c>
      <c r="D24" s="52" t="inlineStr">
        <is>
          <t>PA</t>
        </is>
      </c>
      <c r="E24" s="52" t="inlineStr">
        <is>
          <t>Tier 3</t>
        </is>
      </c>
      <c r="F24" s="53" t="n">
        <v>45882</v>
      </c>
      <c r="G24" s="10" t="inlineStr">
        <is>
          <t>Passed</t>
        </is>
      </c>
      <c r="H24" s="10" t="inlineStr">
        <is>
          <t>✅ No Action Needed</t>
        </is>
      </c>
    </row>
    <row r="25" ht="20" customHeight="1">
      <c r="A25" s="54" t="inlineStr">
        <is>
          <t>AGT-1014</t>
        </is>
      </c>
      <c r="B25" s="54" t="inlineStr">
        <is>
          <t>Olga White</t>
        </is>
      </c>
      <c r="C25" s="54" t="inlineStr">
        <is>
          <t>United Producers</t>
        </is>
      </c>
      <c r="D25" s="54" t="inlineStr">
        <is>
          <t>NJ</t>
        </is>
      </c>
      <c r="E25" s="54" t="inlineStr">
        <is>
          <t>Tier 2</t>
        </is>
      </c>
      <c r="F25" s="55" t="n">
        <v>46031</v>
      </c>
      <c r="G25" s="12" t="inlineStr">
        <is>
          <t>Passed</t>
        </is>
      </c>
      <c r="H25" s="12" t="inlineStr">
        <is>
          <t>✅ No Action Needed</t>
        </is>
      </c>
    </row>
    <row r="26" ht="20" customHeight="1">
      <c r="A26" s="52" t="inlineStr">
        <is>
          <t>AGT-1015</t>
        </is>
      </c>
      <c r="B26" s="52" t="inlineStr">
        <is>
          <t>Anita Smith</t>
        </is>
      </c>
      <c r="C26" s="52" t="inlineStr">
        <is>
          <t>Midwest Brokers LLC</t>
        </is>
      </c>
      <c r="D26" s="52" t="inlineStr">
        <is>
          <t>IL</t>
        </is>
      </c>
      <c r="E26" s="52" t="inlineStr">
        <is>
          <t>Tier 2</t>
        </is>
      </c>
      <c r="F26" s="53" t="n">
        <v>45782</v>
      </c>
      <c r="G26" s="10" t="inlineStr">
        <is>
          <t>Passed</t>
        </is>
      </c>
      <c r="H26" s="10" t="inlineStr">
        <is>
          <t>✅ No Action Needed</t>
        </is>
      </c>
    </row>
    <row r="27" ht="20" customHeight="1">
      <c r="A27" s="54" t="inlineStr">
        <is>
          <t>AGT-1018</t>
        </is>
      </c>
      <c r="B27" s="54" t="inlineStr">
        <is>
          <t>Carlos Martin</t>
        </is>
      </c>
      <c r="C27" s="54" t="inlineStr">
        <is>
          <t>Apex Insurance Group</t>
        </is>
      </c>
      <c r="D27" s="54" t="inlineStr">
        <is>
          <t>NJ</t>
        </is>
      </c>
      <c r="E27" s="54" t="inlineStr">
        <is>
          <t>Tier 2</t>
        </is>
      </c>
      <c r="F27" s="55" t="n">
        <v>46005</v>
      </c>
      <c r="G27" s="12" t="inlineStr">
        <is>
          <t>Passed</t>
        </is>
      </c>
      <c r="H27" s="12" t="inlineStr">
        <is>
          <t>✅ No Action Needed</t>
        </is>
      </c>
    </row>
    <row r="28" ht="20" customHeight="1">
      <c r="A28" s="52" t="inlineStr">
        <is>
          <t>AGT-1021</t>
        </is>
      </c>
      <c r="B28" s="52" t="inlineStr">
        <is>
          <t>John Thomas</t>
        </is>
      </c>
      <c r="C28" s="52" t="inlineStr">
        <is>
          <t>Heritage Brokerage</t>
        </is>
      </c>
      <c r="D28" s="52" t="inlineStr">
        <is>
          <t>IL</t>
        </is>
      </c>
      <c r="E28" s="52" t="inlineStr">
        <is>
          <t>Tier 2</t>
        </is>
      </c>
      <c r="F28" s="53" t="n">
        <v>45734</v>
      </c>
      <c r="G28" s="10" t="inlineStr">
        <is>
          <t>Passed</t>
        </is>
      </c>
      <c r="H28" s="10" t="inlineStr">
        <is>
          <t>✅ No Action Needed</t>
        </is>
      </c>
    </row>
    <row r="29" ht="20" customHeight="1">
      <c r="A29" s="54" t="inlineStr">
        <is>
          <t>AGT-1022</t>
        </is>
      </c>
      <c r="B29" s="54" t="inlineStr">
        <is>
          <t>James Clark</t>
        </is>
      </c>
      <c r="C29" s="54" t="inlineStr">
        <is>
          <t>Nexus Insurance</t>
        </is>
      </c>
      <c r="D29" s="54" t="inlineStr">
        <is>
          <t>PA</t>
        </is>
      </c>
      <c r="E29" s="54" t="inlineStr">
        <is>
          <t>Tier 3</t>
        </is>
      </c>
      <c r="F29" s="55" t="n">
        <v>45961</v>
      </c>
      <c r="G29" s="12" t="inlineStr">
        <is>
          <t>Passed</t>
        </is>
      </c>
      <c r="H29" s="12" t="inlineStr">
        <is>
          <t>✅ No Action Needed</t>
        </is>
      </c>
    </row>
    <row r="30" ht="20" customHeight="1">
      <c r="A30" s="52" t="inlineStr">
        <is>
          <t>AGT-1026</t>
        </is>
      </c>
      <c r="B30" s="52" t="inlineStr">
        <is>
          <t>Eric Brown</t>
        </is>
      </c>
      <c r="C30" s="52" t="inlineStr">
        <is>
          <t>Apex Insurance Group</t>
        </is>
      </c>
      <c r="D30" s="52" t="inlineStr">
        <is>
          <t>TX</t>
        </is>
      </c>
      <c r="E30" s="52" t="inlineStr">
        <is>
          <t>Tier 3</t>
        </is>
      </c>
      <c r="F30" s="53" t="n">
        <v>45877</v>
      </c>
      <c r="G30" s="10" t="inlineStr">
        <is>
          <t>Passed</t>
        </is>
      </c>
      <c r="H30" s="10" t="inlineStr">
        <is>
          <t>✅ No Action Needed</t>
        </is>
      </c>
    </row>
    <row r="31" ht="20" customHeight="1">
      <c r="A31" s="54" t="inlineStr">
        <is>
          <t>AGT-1027</t>
        </is>
      </c>
      <c r="B31" s="54" t="inlineStr">
        <is>
          <t>Yuki Harris</t>
        </is>
      </c>
      <c r="C31" s="54" t="inlineStr">
        <is>
          <t>BlueSky Agency</t>
        </is>
      </c>
      <c r="D31" s="54" t="inlineStr">
        <is>
          <t>TX</t>
        </is>
      </c>
      <c r="E31" s="54" t="inlineStr">
        <is>
          <t>Tier 1</t>
        </is>
      </c>
      <c r="F31" s="55" t="n">
        <v>46032</v>
      </c>
      <c r="G31" s="12" t="inlineStr">
        <is>
          <t>Passed</t>
        </is>
      </c>
      <c r="H31" s="12" t="inlineStr">
        <is>
          <t>✅ No Action Needed</t>
        </is>
      </c>
    </row>
    <row r="32" ht="20" customHeight="1">
      <c r="A32" s="52" t="inlineStr">
        <is>
          <t>AGT-1029</t>
        </is>
      </c>
      <c r="B32" s="52" t="inlineStr">
        <is>
          <t>Fatima Martin</t>
        </is>
      </c>
      <c r="C32" s="52" t="inlineStr">
        <is>
          <t>Heritage Brokerage</t>
        </is>
      </c>
      <c r="D32" s="52" t="inlineStr">
        <is>
          <t>PA</t>
        </is>
      </c>
      <c r="E32" s="52" t="inlineStr">
        <is>
          <t>Tier 2</t>
        </is>
      </c>
      <c r="F32" s="53" t="n">
        <v>46080</v>
      </c>
      <c r="G32" s="10" t="inlineStr">
        <is>
          <t>Passed</t>
        </is>
      </c>
      <c r="H32" s="10" t="inlineStr">
        <is>
          <t>✅ No Action Needed</t>
        </is>
      </c>
    </row>
  </sheetData>
  <mergeCells count="6">
    <mergeCell ref="J3:K3"/>
    <mergeCell ref="J4:K4"/>
    <mergeCell ref="J2:L2"/>
    <mergeCell ref="J5:K5"/>
    <mergeCell ref="J6:K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6" customWidth="1" min="3" max="3"/>
  </cols>
  <sheetData>
    <row r="1" ht="36" customHeight="1">
      <c r="A1" s="1" t="inlineStr">
        <is>
          <t>LEGEND &amp; INSTRUCTIONS</t>
        </is>
      </c>
    </row>
    <row r="2" ht="22" customHeight="1">
      <c r="A2" s="19" t="inlineStr">
        <is>
          <t>STATUS MEANINGS</t>
        </is>
      </c>
    </row>
    <row r="3" ht="20" customHeight="1">
      <c r="A3" s="31" t="inlineStr">
        <is>
          <t>Status</t>
        </is>
      </c>
      <c r="B3" s="31" t="inlineStr">
        <is>
          <t>Color</t>
        </is>
      </c>
      <c r="C3" s="31" t="inlineStr">
        <is>
          <t>Meaning</t>
        </is>
      </c>
    </row>
    <row r="4" ht="18" customHeight="1">
      <c r="A4" s="3" t="inlineStr">
        <is>
          <t>Applied</t>
        </is>
      </c>
      <c r="B4" s="3" t="inlineStr">
        <is>
          <t>Blue</t>
        </is>
      </c>
      <c r="C4" s="56" t="inlineStr">
        <is>
          <t>New application received, initial review pending</t>
        </is>
      </c>
    </row>
    <row r="5" ht="18" customHeight="1">
      <c r="A5" s="7" t="inlineStr">
        <is>
          <t>Under Review</t>
        </is>
      </c>
      <c r="B5" s="7" t="inlineStr">
        <is>
          <t>Amber</t>
        </is>
      </c>
      <c r="C5" s="57" t="inlineStr">
        <is>
          <t>Application being reviewed by Producer Services team</t>
        </is>
      </c>
    </row>
    <row r="6" ht="18" customHeight="1">
      <c r="A6" s="3" t="inlineStr">
        <is>
          <t>Pending Docs</t>
        </is>
      </c>
      <c r="B6" s="3" t="inlineStr">
        <is>
          <t>Orange</t>
        </is>
      </c>
      <c r="C6" s="56" t="inlineStr">
        <is>
          <t>Awaiting required documentation from applicant</t>
        </is>
      </c>
    </row>
    <row r="7" ht="18" customHeight="1">
      <c r="A7" s="7" t="inlineStr">
        <is>
          <t>Active</t>
        </is>
      </c>
      <c r="B7" s="7" t="inlineStr">
        <is>
          <t>Green</t>
        </is>
      </c>
      <c r="C7" s="57" t="inlineStr">
        <is>
          <t>Producer fully onboarded and approved</t>
        </is>
      </c>
    </row>
    <row r="8" ht="18" customHeight="1">
      <c r="A8" s="3" t="inlineStr">
        <is>
          <t>Rejected</t>
        </is>
      </c>
      <c r="B8" s="3" t="inlineStr">
        <is>
          <t>Red</t>
        </is>
      </c>
      <c r="C8" s="56" t="inlineStr">
        <is>
          <t>Application rejected — see Rejection Reason column</t>
        </is>
      </c>
    </row>
    <row r="9" ht="18" customHeight="1">
      <c r="A9" s="7" t="inlineStr">
        <is>
          <t>Terminated</t>
        </is>
      </c>
      <c r="B9" s="7" t="inlineStr">
        <is>
          <t>Gray</t>
        </is>
      </c>
      <c r="C9" s="57" t="inlineStr">
        <is>
          <t>Previously active producer, now terminated</t>
        </is>
      </c>
    </row>
    <row r="11" ht="22" customHeight="1">
      <c r="A11" s="19" t="inlineStr">
        <is>
          <t>LICENSE EXPIRY COLOR CODES</t>
        </is>
      </c>
    </row>
    <row r="12" ht="20" customHeight="1">
      <c r="A12" s="31" t="inlineStr">
        <is>
          <t>Alert Level</t>
        </is>
      </c>
      <c r="B12" s="31" t="inlineStr">
        <is>
          <t>Color</t>
        </is>
      </c>
      <c r="C12" s="31" t="inlineStr">
        <is>
          <t>Action</t>
        </is>
      </c>
    </row>
    <row r="13" ht="18" customHeight="1">
      <c r="A13" s="7" t="inlineStr">
        <is>
          <t>EXPIRED</t>
        </is>
      </c>
      <c r="B13" s="7" t="inlineStr">
        <is>
          <t>Red/Gray</t>
        </is>
      </c>
      <c r="C13" s="57" t="inlineStr">
        <is>
          <t>License expired — immediate action required</t>
        </is>
      </c>
    </row>
    <row r="14" ht="18" customHeight="1">
      <c r="A14" s="3" t="inlineStr">
        <is>
          <t>Critical (&lt;30 days)</t>
        </is>
      </c>
      <c r="B14" s="3" t="inlineStr">
        <is>
          <t>Red</t>
        </is>
      </c>
      <c r="C14" s="56" t="inlineStr">
        <is>
          <t>Urgent renewal — escalate to manager</t>
        </is>
      </c>
    </row>
    <row r="15" ht="18" customHeight="1">
      <c r="A15" s="7" t="inlineStr">
        <is>
          <t>Warning (30-90 days)</t>
        </is>
      </c>
      <c r="B15" s="7" t="inlineStr">
        <is>
          <t>Amber</t>
        </is>
      </c>
      <c r="C15" s="57" t="inlineStr">
        <is>
          <t>Renewal reminder — contact agent</t>
        </is>
      </c>
    </row>
    <row r="16" ht="18" customHeight="1">
      <c r="A16" s="3" t="inlineStr">
        <is>
          <t>OK (&gt;90 days)</t>
        </is>
      </c>
      <c r="B16" s="3" t="inlineStr">
        <is>
          <t>Green</t>
        </is>
      </c>
      <c r="C16" s="56" t="inlineStr">
        <is>
          <t>No immediate action required</t>
        </is>
      </c>
    </row>
    <row r="18" ht="22" customHeight="1">
      <c r="A18" s="19" t="inlineStr">
        <is>
          <t>BACKGROUND CHECK CODES</t>
        </is>
      </c>
    </row>
    <row r="19" ht="20" customHeight="1">
      <c r="A19" s="31" t="inlineStr">
        <is>
          <t>Status</t>
        </is>
      </c>
      <c r="B19" s="31" t="inlineStr">
        <is>
          <t>Color</t>
        </is>
      </c>
      <c r="C19" s="31" t="inlineStr">
        <is>
          <t>Action Required</t>
        </is>
      </c>
    </row>
    <row r="20" ht="18" customHeight="1">
      <c r="A20" s="3" t="inlineStr">
        <is>
          <t>Passed</t>
        </is>
      </c>
      <c r="B20" s="3" t="inlineStr">
        <is>
          <t>Green</t>
        </is>
      </c>
      <c r="C20" s="56" t="inlineStr">
        <is>
          <t>No action needed — proceed with onboarding</t>
        </is>
      </c>
    </row>
    <row r="21" ht="18" customHeight="1">
      <c r="A21" s="7" t="inlineStr">
        <is>
          <t>Pending</t>
        </is>
      </c>
      <c r="B21" s="7" t="inlineStr">
        <is>
          <t>Amber</t>
        </is>
      </c>
      <c r="C21" s="57" t="inlineStr">
        <is>
          <t>Follow up with agent or vendor</t>
        </is>
      </c>
    </row>
    <row r="22" ht="18" customHeight="1">
      <c r="A22" s="3" t="inlineStr">
        <is>
          <t>Failed</t>
        </is>
      </c>
      <c r="B22" s="3" t="inlineStr">
        <is>
          <t>Red</t>
        </is>
      </c>
      <c r="C22" s="56" t="inlineStr">
        <is>
          <t>Escalate to manager immediately</t>
        </is>
      </c>
    </row>
  </sheetData>
  <mergeCells count="4">
    <mergeCell ref="A2:E2"/>
    <mergeCell ref="A11:E11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2026-03-16T20:44:23Z</dcterms:created>
  <dcterms:modified xmlns:dcterms="http://purl.org/dc/terms/" xmlns:xsi="http://www.w3.org/2001/XMLSchema-instance" xsi:type="dcterms:W3CDTF">2026-03-16T20:44:23Z</dcterms:modified>
</cp:coreProperties>
</file>